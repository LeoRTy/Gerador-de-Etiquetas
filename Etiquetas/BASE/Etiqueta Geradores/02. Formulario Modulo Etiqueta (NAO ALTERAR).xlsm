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LeoRTy\Downloads\Etiquetas\BASE\Etiqueta Geradores\"/>
    </mc:Choice>
  </mc:AlternateContent>
  <xr:revisionPtr revIDLastSave="0" documentId="13_ncr:1_{D5BF0F0B-5447-400E-A670-AF99159EDC76}" xr6:coauthVersionLast="47" xr6:coauthVersionMax="47" xr10:uidLastSave="{00000000-0000-0000-0000-000000000000}"/>
  <bookViews>
    <workbookView xWindow="-108" yWindow="-108" windowWidth="23400" windowHeight="12648" autoFilterDateGrouping="0" xr2:uid="{00000000-000D-0000-FFFF-FFFF00000000}"/>
  </bookViews>
  <sheets>
    <sheet name="Sheet" sheetId="1" r:id="rId1"/>
    <sheet name="Planilha1" sheetId="2" r:id="rId2"/>
  </sheets>
  <functionGroups builtInGroupCount="19"/>
  <externalReferences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2" i="1"/>
  <c r="D2" i="1"/>
  <c r="E2" i="1"/>
  <c r="F2" i="1"/>
  <c r="G2" i="1"/>
  <c r="C3" i="1"/>
  <c r="D3" i="1"/>
  <c r="E3" i="1"/>
  <c r="F3" i="1"/>
  <c r="G3" i="1"/>
  <c r="C4" i="1"/>
  <c r="D4" i="1"/>
  <c r="E4" i="1"/>
  <c r="F4" i="1"/>
  <c r="G4" i="1"/>
  <c r="C5" i="1"/>
  <c r="D5" i="1"/>
  <c r="E5" i="1"/>
  <c r="F5" i="1"/>
  <c r="G5" i="1"/>
  <c r="C6" i="1"/>
  <c r="D6" i="1"/>
  <c r="E6" i="1"/>
  <c r="F6" i="1"/>
  <c r="G6" i="1"/>
  <c r="C7" i="1"/>
  <c r="D7" i="1"/>
  <c r="E7" i="1"/>
  <c r="F7" i="1"/>
  <c r="G7" i="1"/>
  <c r="C8" i="1"/>
  <c r="D8" i="1"/>
  <c r="E8" i="1"/>
  <c r="F8" i="1"/>
  <c r="G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G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G40" i="1"/>
  <c r="C41" i="1"/>
  <c r="D41" i="1"/>
  <c r="E41" i="1"/>
  <c r="F41" i="1"/>
  <c r="G41" i="1"/>
  <c r="C42" i="1"/>
  <c r="D42" i="1"/>
  <c r="E42" i="1"/>
  <c r="F42" i="1"/>
  <c r="G42" i="1"/>
  <c r="C43" i="1"/>
  <c r="D43" i="1"/>
  <c r="E43" i="1"/>
  <c r="F43" i="1"/>
  <c r="G43" i="1"/>
  <c r="C44" i="1"/>
  <c r="D44" i="1"/>
  <c r="E44" i="1"/>
  <c r="F44" i="1"/>
  <c r="G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G52" i="1"/>
  <c r="C53" i="1"/>
  <c r="D53" i="1"/>
  <c r="E53" i="1"/>
  <c r="F53" i="1"/>
  <c r="G53" i="1"/>
  <c r="C54" i="1"/>
  <c r="D54" i="1"/>
  <c r="E54" i="1"/>
  <c r="F54" i="1"/>
  <c r="G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G62" i="1"/>
  <c r="C63" i="1"/>
  <c r="D63" i="1"/>
  <c r="E63" i="1"/>
  <c r="F63" i="1"/>
  <c r="G63" i="1"/>
  <c r="C64" i="1"/>
  <c r="D64" i="1"/>
  <c r="E64" i="1"/>
  <c r="F64" i="1"/>
  <c r="G64" i="1"/>
  <c r="C65" i="1"/>
  <c r="D65" i="1"/>
  <c r="E65" i="1"/>
  <c r="F65" i="1"/>
  <c r="G65" i="1"/>
  <c r="C66" i="1"/>
  <c r="D66" i="1"/>
  <c r="E66" i="1"/>
  <c r="F66" i="1"/>
  <c r="G66" i="1"/>
  <c r="C67" i="1"/>
  <c r="D67" i="1"/>
  <c r="E67" i="1"/>
  <c r="F67" i="1"/>
  <c r="G67" i="1"/>
  <c r="C68" i="1"/>
  <c r="D68" i="1"/>
  <c r="E68" i="1"/>
  <c r="F68" i="1"/>
  <c r="G68" i="1"/>
  <c r="C69" i="1"/>
  <c r="D69" i="1"/>
  <c r="E69" i="1"/>
  <c r="F69" i="1"/>
  <c r="G69" i="1"/>
  <c r="C70" i="1"/>
  <c r="D70" i="1"/>
  <c r="E70" i="1"/>
  <c r="F70" i="1"/>
  <c r="G70" i="1"/>
  <c r="C71" i="1"/>
  <c r="D71" i="1"/>
  <c r="E71" i="1"/>
  <c r="F71" i="1"/>
  <c r="G71" i="1"/>
  <c r="C72" i="1"/>
  <c r="D72" i="1"/>
  <c r="E72" i="1"/>
  <c r="F72" i="1"/>
  <c r="G72" i="1"/>
  <c r="C73" i="1"/>
  <c r="D73" i="1"/>
  <c r="E73" i="1"/>
  <c r="F73" i="1"/>
  <c r="G73" i="1"/>
  <c r="C74" i="1"/>
  <c r="D74" i="1"/>
  <c r="E74" i="1"/>
  <c r="F74" i="1"/>
  <c r="G74" i="1"/>
  <c r="C75" i="1"/>
  <c r="D75" i="1"/>
  <c r="E75" i="1"/>
  <c r="F75" i="1"/>
  <c r="G75" i="1"/>
  <c r="C76" i="1"/>
  <c r="D76" i="1"/>
  <c r="E76" i="1"/>
  <c r="F76" i="1"/>
  <c r="G76" i="1"/>
  <c r="C77" i="1"/>
  <c r="D77" i="1"/>
  <c r="E77" i="1"/>
  <c r="F77" i="1"/>
  <c r="G77" i="1"/>
  <c r="C78" i="1"/>
  <c r="D78" i="1"/>
  <c r="E78" i="1"/>
  <c r="F78" i="1"/>
  <c r="G78" i="1"/>
  <c r="C79" i="1"/>
  <c r="D79" i="1"/>
  <c r="E79" i="1"/>
  <c r="F79" i="1"/>
  <c r="G79" i="1"/>
  <c r="C80" i="1"/>
  <c r="D80" i="1"/>
  <c r="E80" i="1"/>
  <c r="F80" i="1"/>
  <c r="G80" i="1"/>
  <c r="C81" i="1"/>
  <c r="D81" i="1"/>
  <c r="E81" i="1"/>
  <c r="F81" i="1"/>
  <c r="G81" i="1"/>
  <c r="C82" i="1"/>
  <c r="D82" i="1"/>
  <c r="E82" i="1"/>
  <c r="F82" i="1"/>
  <c r="G82" i="1"/>
  <c r="C83" i="1"/>
  <c r="D83" i="1"/>
  <c r="E83" i="1"/>
  <c r="F83" i="1"/>
  <c r="G83" i="1"/>
  <c r="C84" i="1"/>
  <c r="D84" i="1"/>
  <c r="E84" i="1"/>
  <c r="F84" i="1"/>
  <c r="G84" i="1"/>
  <c r="C85" i="1"/>
  <c r="D85" i="1"/>
  <c r="E85" i="1"/>
  <c r="F85" i="1"/>
  <c r="G85" i="1"/>
  <c r="C86" i="1"/>
  <c r="D86" i="1"/>
  <c r="E86" i="1"/>
  <c r="F86" i="1"/>
  <c r="G86" i="1"/>
  <c r="C87" i="1"/>
  <c r="D87" i="1"/>
  <c r="E87" i="1"/>
  <c r="F87" i="1"/>
  <c r="G87" i="1"/>
  <c r="C88" i="1"/>
  <c r="D88" i="1"/>
  <c r="E88" i="1"/>
  <c r="F88" i="1"/>
  <c r="G88" i="1"/>
  <c r="C89" i="1"/>
  <c r="D89" i="1"/>
  <c r="E89" i="1"/>
  <c r="F89" i="1"/>
  <c r="G89" i="1"/>
  <c r="C90" i="1"/>
  <c r="D90" i="1"/>
  <c r="E90" i="1"/>
  <c r="F90" i="1"/>
  <c r="G90" i="1"/>
  <c r="C91" i="1"/>
  <c r="D91" i="1"/>
  <c r="E91" i="1"/>
  <c r="F91" i="1"/>
  <c r="G91" i="1"/>
  <c r="C92" i="1"/>
  <c r="D92" i="1"/>
  <c r="E92" i="1"/>
  <c r="F92" i="1"/>
  <c r="G92" i="1"/>
  <c r="C93" i="1"/>
  <c r="D93" i="1"/>
  <c r="E93" i="1"/>
  <c r="F93" i="1"/>
  <c r="G93" i="1"/>
  <c r="C94" i="1"/>
  <c r="D94" i="1"/>
  <c r="E94" i="1"/>
  <c r="F94" i="1"/>
  <c r="G94" i="1"/>
  <c r="C95" i="1"/>
  <c r="D95" i="1"/>
  <c r="E95" i="1"/>
  <c r="F95" i="1"/>
  <c r="G95" i="1"/>
  <c r="C96" i="1"/>
  <c r="D96" i="1"/>
  <c r="E96" i="1"/>
  <c r="F96" i="1"/>
  <c r="G96" i="1"/>
  <c r="C97" i="1"/>
  <c r="D97" i="1"/>
  <c r="E97" i="1"/>
  <c r="F97" i="1"/>
  <c r="G97" i="1"/>
  <c r="C98" i="1"/>
  <c r="D98" i="1"/>
  <c r="E98" i="1"/>
  <c r="F98" i="1"/>
  <c r="G98" i="1"/>
  <c r="C99" i="1"/>
  <c r="D99" i="1"/>
  <c r="E99" i="1"/>
  <c r="F99" i="1"/>
  <c r="G99" i="1"/>
  <c r="C100" i="1"/>
  <c r="D100" i="1"/>
  <c r="E100" i="1"/>
  <c r="F100" i="1"/>
  <c r="G100" i="1"/>
  <c r="C101" i="1"/>
  <c r="D101" i="1"/>
  <c r="E101" i="1"/>
  <c r="F101" i="1"/>
  <c r="G101" i="1"/>
  <c r="C102" i="1"/>
  <c r="D102" i="1"/>
  <c r="E102" i="1"/>
  <c r="F102" i="1"/>
  <c r="G102" i="1"/>
  <c r="C103" i="1"/>
  <c r="D103" i="1"/>
  <c r="E103" i="1"/>
  <c r="F103" i="1"/>
  <c r="G103" i="1"/>
  <c r="C104" i="1"/>
  <c r="D104" i="1"/>
  <c r="E104" i="1"/>
  <c r="F104" i="1"/>
  <c r="G104" i="1"/>
  <c r="C105" i="1"/>
  <c r="D105" i="1"/>
  <c r="E105" i="1"/>
  <c r="F105" i="1"/>
  <c r="G105" i="1"/>
  <c r="C106" i="1"/>
  <c r="D106" i="1"/>
  <c r="E106" i="1"/>
  <c r="F106" i="1"/>
  <c r="G106" i="1"/>
  <c r="C107" i="1"/>
  <c r="D107" i="1"/>
  <c r="E107" i="1"/>
  <c r="F107" i="1"/>
  <c r="G107" i="1"/>
  <c r="C108" i="1"/>
  <c r="D108" i="1"/>
  <c r="E108" i="1"/>
  <c r="F108" i="1"/>
  <c r="G108" i="1"/>
  <c r="C109" i="1"/>
  <c r="D109" i="1"/>
  <c r="E109" i="1"/>
  <c r="F109" i="1"/>
  <c r="G109" i="1"/>
  <c r="C110" i="1"/>
  <c r="D110" i="1"/>
  <c r="E110" i="1"/>
  <c r="F110" i="1"/>
  <c r="G110" i="1"/>
  <c r="C111" i="1"/>
  <c r="D111" i="1"/>
  <c r="E111" i="1"/>
  <c r="F111" i="1"/>
  <c r="G111" i="1"/>
  <c r="C112" i="1"/>
  <c r="D112" i="1"/>
  <c r="E112" i="1"/>
  <c r="F112" i="1"/>
  <c r="G112" i="1"/>
  <c r="C113" i="1"/>
  <c r="D113" i="1"/>
  <c r="E113" i="1"/>
  <c r="F113" i="1"/>
  <c r="G113" i="1"/>
  <c r="C114" i="1"/>
  <c r="D114" i="1"/>
  <c r="E114" i="1"/>
  <c r="F114" i="1"/>
  <c r="G114" i="1"/>
  <c r="C115" i="1"/>
  <c r="D115" i="1"/>
  <c r="E115" i="1"/>
  <c r="F115" i="1"/>
  <c r="G115" i="1"/>
  <c r="C116" i="1"/>
  <c r="D116" i="1"/>
  <c r="E116" i="1"/>
  <c r="F116" i="1"/>
  <c r="G116" i="1"/>
  <c r="C117" i="1"/>
  <c r="D117" i="1"/>
  <c r="E117" i="1"/>
  <c r="F117" i="1"/>
  <c r="G117" i="1"/>
  <c r="C118" i="1"/>
  <c r="D118" i="1"/>
  <c r="E118" i="1"/>
  <c r="F118" i="1"/>
  <c r="G118" i="1"/>
  <c r="C119" i="1"/>
  <c r="D119" i="1"/>
  <c r="E119" i="1"/>
  <c r="F119" i="1"/>
  <c r="G119" i="1"/>
  <c r="C120" i="1"/>
  <c r="D120" i="1"/>
  <c r="E120" i="1"/>
  <c r="F120" i="1"/>
  <c r="G120" i="1"/>
  <c r="C121" i="1"/>
  <c r="D121" i="1"/>
  <c r="E121" i="1"/>
  <c r="F121" i="1"/>
  <c r="G121" i="1"/>
  <c r="C122" i="1"/>
  <c r="D122" i="1"/>
  <c r="E122" i="1"/>
  <c r="F122" i="1"/>
  <c r="G122" i="1"/>
  <c r="C123" i="1"/>
  <c r="D123" i="1"/>
  <c r="E123" i="1"/>
  <c r="F123" i="1"/>
  <c r="G123" i="1"/>
  <c r="C124" i="1"/>
  <c r="D124" i="1"/>
  <c r="E124" i="1"/>
  <c r="F124" i="1"/>
  <c r="G124" i="1"/>
  <c r="C125" i="1"/>
  <c r="D125" i="1"/>
  <c r="E125" i="1"/>
  <c r="F125" i="1"/>
  <c r="G125" i="1"/>
  <c r="C126" i="1"/>
  <c r="D126" i="1"/>
  <c r="E126" i="1"/>
  <c r="F126" i="1"/>
  <c r="G126" i="1"/>
  <c r="C127" i="1"/>
  <c r="D127" i="1"/>
  <c r="E127" i="1"/>
  <c r="F127" i="1"/>
  <c r="G127" i="1"/>
  <c r="C128" i="1"/>
  <c r="D128" i="1"/>
  <c r="E128" i="1"/>
  <c r="F128" i="1"/>
  <c r="G128" i="1"/>
  <c r="C129" i="1"/>
  <c r="D129" i="1"/>
  <c r="E129" i="1"/>
  <c r="F129" i="1"/>
  <c r="G129" i="1"/>
  <c r="C130" i="1"/>
  <c r="D130" i="1"/>
  <c r="E130" i="1"/>
  <c r="F130" i="1"/>
  <c r="G130" i="1"/>
  <c r="C131" i="1"/>
  <c r="D131" i="1"/>
  <c r="E131" i="1"/>
  <c r="F131" i="1"/>
  <c r="G131" i="1"/>
  <c r="C132" i="1"/>
  <c r="D132" i="1"/>
  <c r="E132" i="1"/>
  <c r="F132" i="1"/>
  <c r="G132" i="1"/>
  <c r="C133" i="1"/>
  <c r="D133" i="1"/>
  <c r="E133" i="1"/>
  <c r="F133" i="1"/>
  <c r="G133" i="1"/>
  <c r="C134" i="1"/>
  <c r="D134" i="1"/>
  <c r="E134" i="1"/>
  <c r="F134" i="1"/>
  <c r="G134" i="1"/>
  <c r="C135" i="1"/>
  <c r="D135" i="1"/>
  <c r="E135" i="1"/>
  <c r="F135" i="1"/>
  <c r="G135" i="1"/>
  <c r="C136" i="1"/>
  <c r="D136" i="1"/>
  <c r="E136" i="1"/>
  <c r="F136" i="1"/>
  <c r="G136" i="1"/>
  <c r="C137" i="1"/>
  <c r="D137" i="1"/>
  <c r="E137" i="1"/>
  <c r="F137" i="1"/>
  <c r="G137" i="1"/>
  <c r="C138" i="1"/>
  <c r="D138" i="1"/>
  <c r="E138" i="1"/>
  <c r="F138" i="1"/>
  <c r="G138" i="1"/>
  <c r="C139" i="1"/>
  <c r="D139" i="1"/>
  <c r="E139" i="1"/>
  <c r="F139" i="1"/>
  <c r="G139" i="1"/>
  <c r="C140" i="1"/>
  <c r="D140" i="1"/>
  <c r="E140" i="1"/>
  <c r="F140" i="1"/>
  <c r="G140" i="1"/>
  <c r="C141" i="1"/>
  <c r="D141" i="1"/>
  <c r="E141" i="1"/>
  <c r="F141" i="1"/>
  <c r="G141" i="1"/>
  <c r="C142" i="1"/>
  <c r="D142" i="1"/>
  <c r="E142" i="1"/>
  <c r="F142" i="1"/>
  <c r="G142" i="1"/>
  <c r="C143" i="1"/>
  <c r="D143" i="1"/>
  <c r="E143" i="1"/>
  <c r="F143" i="1"/>
  <c r="G143" i="1"/>
  <c r="C144" i="1"/>
  <c r="D144" i="1"/>
  <c r="E144" i="1"/>
  <c r="F144" i="1"/>
  <c r="G144" i="1"/>
  <c r="C145" i="1"/>
  <c r="D145" i="1"/>
  <c r="E145" i="1"/>
  <c r="F145" i="1"/>
  <c r="G145" i="1"/>
  <c r="C146" i="1"/>
  <c r="D146" i="1"/>
  <c r="E146" i="1"/>
  <c r="F146" i="1"/>
  <c r="G146" i="1"/>
  <c r="C147" i="1"/>
  <c r="D147" i="1"/>
  <c r="E147" i="1"/>
  <c r="F147" i="1"/>
  <c r="G147" i="1"/>
  <c r="C148" i="1"/>
  <c r="D148" i="1"/>
  <c r="E148" i="1"/>
  <c r="F148" i="1"/>
  <c r="G148" i="1"/>
  <c r="C149" i="1"/>
  <c r="D149" i="1"/>
  <c r="E149" i="1"/>
  <c r="F149" i="1"/>
  <c r="G149" i="1"/>
  <c r="C150" i="1"/>
  <c r="D150" i="1"/>
  <c r="E150" i="1"/>
  <c r="F150" i="1"/>
  <c r="G150" i="1"/>
  <c r="C151" i="1"/>
  <c r="D151" i="1"/>
  <c r="E151" i="1"/>
  <c r="F151" i="1"/>
  <c r="G151" i="1"/>
  <c r="C152" i="1"/>
  <c r="D152" i="1"/>
  <c r="E152" i="1"/>
  <c r="F152" i="1"/>
  <c r="G152" i="1"/>
  <c r="C153" i="1"/>
  <c r="D153" i="1"/>
  <c r="E153" i="1"/>
  <c r="F153" i="1"/>
  <c r="G153" i="1"/>
  <c r="C154" i="1"/>
  <c r="D154" i="1"/>
  <c r="E154" i="1"/>
  <c r="F154" i="1"/>
  <c r="G154" i="1"/>
  <c r="C155" i="1"/>
  <c r="D155" i="1"/>
  <c r="E155" i="1"/>
  <c r="F155" i="1"/>
  <c r="G155" i="1"/>
  <c r="C156" i="1"/>
  <c r="D156" i="1"/>
  <c r="E156" i="1"/>
  <c r="F156" i="1"/>
  <c r="G156" i="1"/>
  <c r="C157" i="1"/>
  <c r="D157" i="1"/>
  <c r="E157" i="1"/>
  <c r="F157" i="1"/>
  <c r="G157" i="1"/>
  <c r="C158" i="1"/>
  <c r="D158" i="1"/>
  <c r="E158" i="1"/>
  <c r="F158" i="1"/>
  <c r="G158" i="1"/>
  <c r="C159" i="1"/>
  <c r="D159" i="1"/>
  <c r="E159" i="1"/>
  <c r="F159" i="1"/>
  <c r="G159" i="1"/>
  <c r="C160" i="1"/>
  <c r="D160" i="1"/>
  <c r="E160" i="1"/>
  <c r="F160" i="1"/>
  <c r="G160" i="1"/>
  <c r="C161" i="1"/>
  <c r="D161" i="1"/>
  <c r="E161" i="1"/>
  <c r="F161" i="1"/>
  <c r="G161" i="1"/>
  <c r="C162" i="1"/>
  <c r="D162" i="1"/>
  <c r="E162" i="1"/>
  <c r="F162" i="1"/>
  <c r="G162" i="1"/>
  <c r="C163" i="1"/>
  <c r="D163" i="1"/>
  <c r="E163" i="1"/>
  <c r="F163" i="1"/>
  <c r="G163" i="1"/>
  <c r="C164" i="1"/>
  <c r="D164" i="1"/>
  <c r="E164" i="1"/>
  <c r="F164" i="1"/>
  <c r="G164" i="1"/>
  <c r="C165" i="1"/>
  <c r="D165" i="1"/>
  <c r="E165" i="1"/>
  <c r="F165" i="1"/>
  <c r="G165" i="1"/>
  <c r="C166" i="1"/>
  <c r="D166" i="1"/>
  <c r="E166" i="1"/>
  <c r="F166" i="1"/>
  <c r="G166" i="1"/>
  <c r="C167" i="1"/>
  <c r="D167" i="1"/>
  <c r="E167" i="1"/>
  <c r="F167" i="1"/>
  <c r="G167" i="1"/>
  <c r="C168" i="1"/>
  <c r="D168" i="1"/>
  <c r="E168" i="1"/>
  <c r="F168" i="1"/>
  <c r="G168" i="1"/>
  <c r="C169" i="1"/>
  <c r="D169" i="1"/>
  <c r="E169" i="1"/>
  <c r="F169" i="1"/>
  <c r="G169" i="1"/>
  <c r="C170" i="1"/>
  <c r="D170" i="1"/>
  <c r="E170" i="1"/>
  <c r="F170" i="1"/>
  <c r="G170" i="1"/>
  <c r="C171" i="1"/>
  <c r="D171" i="1"/>
  <c r="E171" i="1"/>
  <c r="F171" i="1"/>
  <c r="G171" i="1"/>
  <c r="C172" i="1"/>
  <c r="D172" i="1"/>
  <c r="E172" i="1"/>
  <c r="F172" i="1"/>
  <c r="G172" i="1"/>
  <c r="C173" i="1"/>
  <c r="D173" i="1"/>
  <c r="E173" i="1"/>
  <c r="F173" i="1"/>
  <c r="G173" i="1"/>
  <c r="C174" i="1"/>
  <c r="D174" i="1"/>
  <c r="E174" i="1"/>
  <c r="F174" i="1"/>
  <c r="G174" i="1"/>
  <c r="C175" i="1"/>
  <c r="D175" i="1"/>
  <c r="E175" i="1"/>
  <c r="F175" i="1"/>
  <c r="G175" i="1"/>
  <c r="C176" i="1"/>
  <c r="D176" i="1"/>
  <c r="E176" i="1"/>
  <c r="F176" i="1"/>
  <c r="G176" i="1"/>
  <c r="C177" i="1"/>
  <c r="D177" i="1"/>
  <c r="E177" i="1"/>
  <c r="F177" i="1"/>
  <c r="G177" i="1"/>
  <c r="C178" i="1"/>
  <c r="D178" i="1"/>
  <c r="E178" i="1"/>
  <c r="F178" i="1"/>
  <c r="G178" i="1"/>
  <c r="C179" i="1"/>
  <c r="D179" i="1"/>
  <c r="E179" i="1"/>
  <c r="F179" i="1"/>
  <c r="G179" i="1"/>
  <c r="C180" i="1"/>
  <c r="D180" i="1"/>
  <c r="E180" i="1"/>
  <c r="F180" i="1"/>
  <c r="G180" i="1"/>
  <c r="C181" i="1"/>
  <c r="D181" i="1"/>
  <c r="E181" i="1"/>
  <c r="F181" i="1"/>
  <c r="G181" i="1"/>
  <c r="C182" i="1"/>
  <c r="D182" i="1"/>
  <c r="E182" i="1"/>
  <c r="F182" i="1"/>
  <c r="G182" i="1"/>
  <c r="C183" i="1"/>
  <c r="D183" i="1"/>
  <c r="E183" i="1"/>
  <c r="F183" i="1"/>
  <c r="G183" i="1"/>
  <c r="C184" i="1"/>
  <c r="D184" i="1"/>
  <c r="E184" i="1"/>
  <c r="F184" i="1"/>
  <c r="G184" i="1"/>
  <c r="C185" i="1"/>
  <c r="D185" i="1"/>
  <c r="E185" i="1"/>
  <c r="F185" i="1"/>
  <c r="G185" i="1"/>
  <c r="C186" i="1"/>
  <c r="D186" i="1"/>
  <c r="E186" i="1"/>
  <c r="F186" i="1"/>
  <c r="G186" i="1"/>
  <c r="C187" i="1"/>
  <c r="D187" i="1"/>
  <c r="E187" i="1"/>
  <c r="F187" i="1"/>
  <c r="G187" i="1"/>
  <c r="C188" i="1"/>
  <c r="D188" i="1"/>
  <c r="E188" i="1"/>
  <c r="F188" i="1"/>
  <c r="G188" i="1"/>
  <c r="C189" i="1"/>
  <c r="D189" i="1"/>
  <c r="E189" i="1"/>
  <c r="F189" i="1"/>
  <c r="G189" i="1"/>
  <c r="C190" i="1"/>
  <c r="D190" i="1"/>
  <c r="E190" i="1"/>
  <c r="F190" i="1"/>
  <c r="G190" i="1"/>
  <c r="C191" i="1"/>
  <c r="D191" i="1"/>
  <c r="E191" i="1"/>
  <c r="F191" i="1"/>
  <c r="G191" i="1"/>
  <c r="C192" i="1"/>
  <c r="D192" i="1"/>
  <c r="E192" i="1"/>
  <c r="F192" i="1"/>
  <c r="G192" i="1"/>
  <c r="C193" i="1"/>
  <c r="D193" i="1"/>
  <c r="E193" i="1"/>
  <c r="F193" i="1"/>
  <c r="G193" i="1"/>
  <c r="C194" i="1"/>
  <c r="D194" i="1"/>
  <c r="E194" i="1"/>
  <c r="F194" i="1"/>
  <c r="G194" i="1"/>
  <c r="C195" i="1"/>
  <c r="D195" i="1"/>
  <c r="E195" i="1"/>
  <c r="F195" i="1"/>
  <c r="G195" i="1"/>
  <c r="C196" i="1"/>
  <c r="D196" i="1"/>
  <c r="E196" i="1"/>
  <c r="F196" i="1"/>
  <c r="G196" i="1"/>
  <c r="C197" i="1"/>
  <c r="D197" i="1"/>
  <c r="E197" i="1"/>
  <c r="F197" i="1"/>
  <c r="G197" i="1"/>
  <c r="C198" i="1"/>
  <c r="D198" i="1"/>
  <c r="E198" i="1"/>
  <c r="F198" i="1"/>
  <c r="G198" i="1"/>
  <c r="C199" i="1"/>
  <c r="D199" i="1"/>
  <c r="E199" i="1"/>
  <c r="F199" i="1"/>
  <c r="G199" i="1"/>
  <c r="C200" i="1"/>
  <c r="D200" i="1"/>
  <c r="E200" i="1"/>
  <c r="F200" i="1"/>
  <c r="G200" i="1"/>
  <c r="C201" i="1"/>
  <c r="D201" i="1"/>
  <c r="E201" i="1"/>
  <c r="F201" i="1"/>
  <c r="G201" i="1"/>
  <c r="C202" i="1"/>
  <c r="D202" i="1"/>
  <c r="E202" i="1"/>
  <c r="F202" i="1"/>
  <c r="G202" i="1"/>
  <c r="C203" i="1"/>
  <c r="D203" i="1"/>
  <c r="E203" i="1"/>
  <c r="F203" i="1"/>
  <c r="G203" i="1"/>
  <c r="C204" i="1"/>
  <c r="D204" i="1"/>
  <c r="E204" i="1"/>
  <c r="F204" i="1"/>
  <c r="G204" i="1"/>
  <c r="C205" i="1"/>
  <c r="D205" i="1"/>
  <c r="E205" i="1"/>
  <c r="F205" i="1"/>
  <c r="G205" i="1"/>
  <c r="C206" i="1"/>
  <c r="D206" i="1"/>
  <c r="E206" i="1"/>
  <c r="F206" i="1"/>
  <c r="G206" i="1"/>
  <c r="C207" i="1"/>
  <c r="D207" i="1"/>
  <c r="E207" i="1"/>
  <c r="F207" i="1"/>
  <c r="G207" i="1"/>
  <c r="C208" i="1"/>
  <c r="D208" i="1"/>
  <c r="E208" i="1"/>
  <c r="F208" i="1"/>
  <c r="G208" i="1"/>
  <c r="C209" i="1"/>
  <c r="D209" i="1"/>
  <c r="E209" i="1"/>
  <c r="F209" i="1"/>
  <c r="G209" i="1"/>
  <c r="C210" i="1"/>
  <c r="D210" i="1"/>
  <c r="E210" i="1"/>
  <c r="F210" i="1"/>
  <c r="G210" i="1"/>
  <c r="C211" i="1"/>
  <c r="D211" i="1"/>
  <c r="E211" i="1"/>
  <c r="F211" i="1"/>
  <c r="G211" i="1"/>
  <c r="C212" i="1"/>
  <c r="D212" i="1"/>
  <c r="E212" i="1"/>
  <c r="F212" i="1"/>
  <c r="G212" i="1"/>
  <c r="C213" i="1"/>
  <c r="D213" i="1"/>
  <c r="E213" i="1"/>
  <c r="F213" i="1"/>
  <c r="G213" i="1"/>
  <c r="C214" i="1"/>
  <c r="D214" i="1"/>
  <c r="E214" i="1"/>
  <c r="F214" i="1"/>
  <c r="G214" i="1"/>
  <c r="C215" i="1"/>
  <c r="D215" i="1"/>
  <c r="E215" i="1"/>
  <c r="F215" i="1"/>
  <c r="G215" i="1"/>
  <c r="C216" i="1"/>
  <c r="D216" i="1"/>
  <c r="E216" i="1"/>
  <c r="F216" i="1"/>
  <c r="G216" i="1"/>
  <c r="C217" i="1"/>
  <c r="D217" i="1"/>
  <c r="E217" i="1"/>
  <c r="F217" i="1"/>
  <c r="G217" i="1"/>
  <c r="C218" i="1"/>
  <c r="D218" i="1"/>
  <c r="E218" i="1"/>
  <c r="F218" i="1"/>
  <c r="G218" i="1"/>
  <c r="C219" i="1"/>
  <c r="D219" i="1"/>
  <c r="E219" i="1"/>
  <c r="F219" i="1"/>
  <c r="G219" i="1"/>
  <c r="C220" i="1"/>
  <c r="D220" i="1"/>
  <c r="E220" i="1"/>
  <c r="F220" i="1"/>
  <c r="G220" i="1"/>
  <c r="C221" i="1"/>
  <c r="D221" i="1"/>
  <c r="E221" i="1"/>
  <c r="F221" i="1"/>
  <c r="G221" i="1"/>
  <c r="C222" i="1"/>
  <c r="D222" i="1"/>
  <c r="E222" i="1"/>
  <c r="F222" i="1"/>
  <c r="G222" i="1"/>
  <c r="C223" i="1"/>
  <c r="D223" i="1"/>
  <c r="E223" i="1"/>
  <c r="F223" i="1"/>
  <c r="G223" i="1"/>
  <c r="C224" i="1"/>
  <c r="D224" i="1"/>
  <c r="E224" i="1"/>
  <c r="F224" i="1"/>
  <c r="G224" i="1"/>
  <c r="C225" i="1"/>
  <c r="D225" i="1"/>
  <c r="E225" i="1"/>
  <c r="F225" i="1"/>
  <c r="G225" i="1"/>
  <c r="C226" i="1"/>
  <c r="D226" i="1"/>
  <c r="E226" i="1"/>
  <c r="F226" i="1"/>
  <c r="G226" i="1"/>
  <c r="C227" i="1"/>
  <c r="D227" i="1"/>
  <c r="E227" i="1"/>
  <c r="F227" i="1"/>
  <c r="G227" i="1"/>
  <c r="C228" i="1"/>
  <c r="D228" i="1"/>
  <c r="E228" i="1"/>
  <c r="F228" i="1"/>
  <c r="G228" i="1"/>
  <c r="C229" i="1"/>
  <c r="D229" i="1"/>
  <c r="E229" i="1"/>
  <c r="F229" i="1"/>
  <c r="G229" i="1"/>
  <c r="C230" i="1"/>
  <c r="D230" i="1"/>
  <c r="E230" i="1"/>
  <c r="F230" i="1"/>
  <c r="G230" i="1"/>
  <c r="C231" i="1"/>
  <c r="D231" i="1"/>
  <c r="E231" i="1"/>
  <c r="F231" i="1"/>
  <c r="G231" i="1"/>
  <c r="C232" i="1"/>
  <c r="D232" i="1"/>
  <c r="E232" i="1"/>
  <c r="F232" i="1"/>
  <c r="G232" i="1"/>
  <c r="C233" i="1"/>
  <c r="D233" i="1"/>
  <c r="E233" i="1"/>
  <c r="F233" i="1"/>
  <c r="G233" i="1"/>
  <c r="C234" i="1"/>
  <c r="D234" i="1"/>
  <c r="E234" i="1"/>
  <c r="F234" i="1"/>
  <c r="G234" i="1"/>
  <c r="C235" i="1"/>
  <c r="D235" i="1"/>
  <c r="E235" i="1"/>
  <c r="F235" i="1"/>
  <c r="G235" i="1"/>
  <c r="C236" i="1"/>
  <c r="D236" i="1"/>
  <c r="E236" i="1"/>
  <c r="F236" i="1"/>
  <c r="G236" i="1"/>
  <c r="C237" i="1"/>
  <c r="D237" i="1"/>
  <c r="E237" i="1"/>
  <c r="F237" i="1"/>
  <c r="G237" i="1"/>
  <c r="C238" i="1"/>
  <c r="D238" i="1"/>
  <c r="E238" i="1"/>
  <c r="F238" i="1"/>
  <c r="G238" i="1"/>
  <c r="C239" i="1"/>
  <c r="D239" i="1"/>
  <c r="E239" i="1"/>
  <c r="F239" i="1"/>
  <c r="G239" i="1"/>
  <c r="C240" i="1"/>
  <c r="D240" i="1"/>
  <c r="E240" i="1"/>
  <c r="F240" i="1"/>
  <c r="G240" i="1"/>
  <c r="C241" i="1"/>
  <c r="D241" i="1"/>
  <c r="E241" i="1"/>
  <c r="F241" i="1"/>
  <c r="G241" i="1"/>
  <c r="C242" i="1"/>
  <c r="D242" i="1"/>
  <c r="E242" i="1"/>
  <c r="F242" i="1"/>
  <c r="G242" i="1"/>
  <c r="C243" i="1"/>
  <c r="D243" i="1"/>
  <c r="E243" i="1"/>
  <c r="F243" i="1"/>
  <c r="G243" i="1"/>
  <c r="C244" i="1"/>
  <c r="D244" i="1"/>
  <c r="E244" i="1"/>
  <c r="F244" i="1"/>
  <c r="G244" i="1"/>
  <c r="C245" i="1"/>
  <c r="D245" i="1"/>
  <c r="E245" i="1"/>
  <c r="F245" i="1"/>
  <c r="G245" i="1"/>
  <c r="C246" i="1"/>
  <c r="D246" i="1"/>
  <c r="E246" i="1"/>
  <c r="F246" i="1"/>
  <c r="G246" i="1"/>
  <c r="C247" i="1"/>
  <c r="D247" i="1"/>
  <c r="E247" i="1"/>
  <c r="F247" i="1"/>
  <c r="G247" i="1"/>
  <c r="C248" i="1"/>
  <c r="D248" i="1"/>
  <c r="E248" i="1"/>
  <c r="F248" i="1"/>
  <c r="G248" i="1"/>
  <c r="C249" i="1"/>
  <c r="D249" i="1"/>
  <c r="E249" i="1"/>
  <c r="F249" i="1"/>
  <c r="G249" i="1"/>
  <c r="C250" i="1"/>
  <c r="D250" i="1"/>
  <c r="E250" i="1"/>
  <c r="F250" i="1"/>
  <c r="G250" i="1"/>
  <c r="C251" i="1"/>
  <c r="D251" i="1"/>
  <c r="E251" i="1"/>
  <c r="F251" i="1"/>
  <c r="G251" i="1"/>
  <c r="C252" i="1"/>
  <c r="D252" i="1"/>
  <c r="E252" i="1"/>
  <c r="F252" i="1"/>
  <c r="G252" i="1"/>
  <c r="C253" i="1"/>
  <c r="D253" i="1"/>
  <c r="E253" i="1"/>
  <c r="F253" i="1"/>
  <c r="G253" i="1"/>
  <c r="C254" i="1"/>
  <c r="D254" i="1"/>
  <c r="E254" i="1"/>
  <c r="F254" i="1"/>
  <c r="G254" i="1"/>
  <c r="C255" i="1"/>
  <c r="D255" i="1"/>
  <c r="E255" i="1"/>
  <c r="F255" i="1"/>
  <c r="G255" i="1"/>
  <c r="C256" i="1"/>
  <c r="D256" i="1"/>
  <c r="E256" i="1"/>
  <c r="F256" i="1"/>
  <c r="G256" i="1"/>
  <c r="C257" i="1"/>
  <c r="D257" i="1"/>
  <c r="E257" i="1"/>
  <c r="F257" i="1"/>
  <c r="G257" i="1"/>
  <c r="C258" i="1"/>
  <c r="D258" i="1"/>
  <c r="E258" i="1"/>
  <c r="F258" i="1"/>
  <c r="G258" i="1"/>
  <c r="C259" i="1"/>
  <c r="D259" i="1"/>
  <c r="E259" i="1"/>
  <c r="F259" i="1"/>
  <c r="G259" i="1"/>
  <c r="C260" i="1"/>
  <c r="D260" i="1"/>
  <c r="E260" i="1"/>
  <c r="F260" i="1"/>
  <c r="G260" i="1"/>
  <c r="C261" i="1"/>
  <c r="D261" i="1"/>
  <c r="E261" i="1"/>
  <c r="F261" i="1"/>
  <c r="G261" i="1"/>
  <c r="C262" i="1"/>
  <c r="D262" i="1"/>
  <c r="E262" i="1"/>
  <c r="F262" i="1"/>
  <c r="G262" i="1"/>
  <c r="C263" i="1"/>
  <c r="D263" i="1"/>
  <c r="E263" i="1"/>
  <c r="F263" i="1"/>
  <c r="G263" i="1"/>
  <c r="C264" i="1"/>
  <c r="D264" i="1"/>
  <c r="E264" i="1"/>
  <c r="F264" i="1"/>
  <c r="G264" i="1"/>
  <c r="C265" i="1"/>
  <c r="D265" i="1"/>
  <c r="E265" i="1"/>
  <c r="F265" i="1"/>
  <c r="G265" i="1"/>
  <c r="C266" i="1"/>
  <c r="D266" i="1"/>
  <c r="E266" i="1"/>
  <c r="F266" i="1"/>
  <c r="G266" i="1"/>
  <c r="C267" i="1"/>
  <c r="D267" i="1"/>
  <c r="E267" i="1"/>
  <c r="F267" i="1"/>
  <c r="G267" i="1"/>
  <c r="C268" i="1"/>
  <c r="D268" i="1"/>
  <c r="E268" i="1"/>
  <c r="F268" i="1"/>
  <c r="G268" i="1"/>
  <c r="C269" i="1"/>
  <c r="D269" i="1"/>
  <c r="E269" i="1"/>
  <c r="F269" i="1"/>
  <c r="G269" i="1"/>
  <c r="C270" i="1"/>
  <c r="D270" i="1"/>
  <c r="E270" i="1"/>
  <c r="F270" i="1"/>
  <c r="G270" i="1"/>
  <c r="C271" i="1"/>
  <c r="D271" i="1"/>
  <c r="E271" i="1"/>
  <c r="F271" i="1"/>
  <c r="G271" i="1"/>
  <c r="C272" i="1"/>
  <c r="D272" i="1"/>
  <c r="E272" i="1"/>
  <c r="F272" i="1"/>
  <c r="G272" i="1"/>
  <c r="C273" i="1"/>
  <c r="D273" i="1"/>
  <c r="E273" i="1"/>
  <c r="F273" i="1"/>
  <c r="G273" i="1"/>
  <c r="C274" i="1"/>
  <c r="D274" i="1"/>
  <c r="E274" i="1"/>
  <c r="F274" i="1"/>
  <c r="G274" i="1"/>
  <c r="C275" i="1"/>
  <c r="D275" i="1"/>
  <c r="E275" i="1"/>
  <c r="F275" i="1"/>
  <c r="G275" i="1"/>
  <c r="C276" i="1"/>
  <c r="D276" i="1"/>
  <c r="E276" i="1"/>
  <c r="F276" i="1"/>
  <c r="G276" i="1"/>
  <c r="C277" i="1"/>
  <c r="D277" i="1"/>
  <c r="E277" i="1"/>
  <c r="F277" i="1"/>
  <c r="G277" i="1"/>
  <c r="C278" i="1"/>
  <c r="D278" i="1"/>
  <c r="E278" i="1"/>
  <c r="F278" i="1"/>
  <c r="G278" i="1"/>
  <c r="C279" i="1"/>
  <c r="D279" i="1"/>
  <c r="E279" i="1"/>
  <c r="F279" i="1"/>
  <c r="G279" i="1"/>
  <c r="C280" i="1"/>
  <c r="D280" i="1"/>
  <c r="E280" i="1"/>
  <c r="F280" i="1"/>
  <c r="G280" i="1"/>
  <c r="C281" i="1"/>
  <c r="D281" i="1"/>
  <c r="E281" i="1"/>
  <c r="F281" i="1"/>
  <c r="G281" i="1"/>
  <c r="C282" i="1"/>
  <c r="D282" i="1"/>
  <c r="E282" i="1"/>
  <c r="F282" i="1"/>
  <c r="G282" i="1"/>
  <c r="C283" i="1"/>
  <c r="D283" i="1"/>
  <c r="E283" i="1"/>
  <c r="F283" i="1"/>
  <c r="G283" i="1"/>
  <c r="C284" i="1"/>
  <c r="D284" i="1"/>
  <c r="E284" i="1"/>
  <c r="F284" i="1"/>
  <c r="G284" i="1"/>
  <c r="C285" i="1"/>
  <c r="D285" i="1"/>
  <c r="E285" i="1"/>
  <c r="F285" i="1"/>
  <c r="G285" i="1"/>
  <c r="C286" i="1"/>
  <c r="D286" i="1"/>
  <c r="E286" i="1"/>
  <c r="F286" i="1"/>
  <c r="G286" i="1"/>
  <c r="C287" i="1"/>
  <c r="D287" i="1"/>
  <c r="E287" i="1"/>
  <c r="F287" i="1"/>
  <c r="G287" i="1"/>
  <c r="C288" i="1"/>
  <c r="D288" i="1"/>
  <c r="E288" i="1"/>
  <c r="F288" i="1"/>
  <c r="G288" i="1"/>
  <c r="C289" i="1"/>
  <c r="D289" i="1"/>
  <c r="E289" i="1"/>
  <c r="F289" i="1"/>
  <c r="G289" i="1"/>
  <c r="C290" i="1"/>
  <c r="D290" i="1"/>
  <c r="E290" i="1"/>
  <c r="F290" i="1"/>
  <c r="G290" i="1"/>
  <c r="C291" i="1"/>
  <c r="D291" i="1"/>
  <c r="E291" i="1"/>
  <c r="F291" i="1"/>
  <c r="G291" i="1"/>
  <c r="C292" i="1"/>
  <c r="D292" i="1"/>
  <c r="E292" i="1"/>
  <c r="F292" i="1"/>
  <c r="G292" i="1"/>
  <c r="C293" i="1"/>
  <c r="D293" i="1"/>
  <c r="E293" i="1"/>
  <c r="F293" i="1"/>
  <c r="G293" i="1"/>
  <c r="C294" i="1"/>
  <c r="D294" i="1"/>
  <c r="E294" i="1"/>
  <c r="F294" i="1"/>
  <c r="G294" i="1"/>
  <c r="C295" i="1"/>
  <c r="D295" i="1"/>
  <c r="E295" i="1"/>
  <c r="F295" i="1"/>
  <c r="G295" i="1"/>
  <c r="C296" i="1"/>
  <c r="D296" i="1"/>
  <c r="E296" i="1"/>
  <c r="F296" i="1"/>
  <c r="G296" i="1"/>
  <c r="C297" i="1"/>
  <c r="D297" i="1"/>
  <c r="E297" i="1"/>
  <c r="F297" i="1"/>
  <c r="G297" i="1"/>
  <c r="C298" i="1"/>
  <c r="D298" i="1"/>
  <c r="E298" i="1"/>
  <c r="F298" i="1"/>
  <c r="G298" i="1"/>
  <c r="C299" i="1"/>
  <c r="D299" i="1"/>
  <c r="E299" i="1"/>
  <c r="F299" i="1"/>
  <c r="G299" i="1"/>
  <c r="C300" i="1"/>
  <c r="D300" i="1"/>
  <c r="E300" i="1"/>
  <c r="F300" i="1"/>
  <c r="G300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5" i="1"/>
  <c r="B13" i="1"/>
  <c r="B12" i="1"/>
  <c r="B11" i="1"/>
  <c r="B10" i="1"/>
  <c r="B14" i="1"/>
  <c r="B16" i="1"/>
  <c r="B9" i="1"/>
  <c r="B8" i="1"/>
  <c r="B7" i="1"/>
  <c r="B6" i="1"/>
  <c r="B5" i="1"/>
  <c r="B4" i="1"/>
  <c r="B3" i="1"/>
  <c r="B2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L2" i="1" l="1"/>
  <c r="I58" i="1" a="1"/>
  <c r="I153" i="1" a="1"/>
  <c r="I88" i="1" a="1"/>
  <c r="I56" i="1" a="1"/>
  <c r="I233" i="1" a="1"/>
  <c r="I145" i="1" a="1"/>
  <c r="I198" i="1" a="1"/>
  <c r="I222" i="1" a="1"/>
  <c r="I119" i="1" a="1"/>
  <c r="I22" i="1" a="1"/>
  <c r="I85" i="1" a="1"/>
  <c r="I224" i="1" a="1"/>
  <c r="I182" i="1" a="1"/>
  <c r="I257" i="1" a="1"/>
  <c r="I264" i="1" a="1"/>
  <c r="I246" i="1" a="1"/>
  <c r="I87" i="1" a="1"/>
  <c r="I120" i="1" a="1"/>
  <c r="I286" i="1" a="1"/>
  <c r="I136" i="1" a="1"/>
  <c r="I142" i="1" a="1"/>
  <c r="I274" i="1" a="1"/>
  <c r="I193" i="1" a="1"/>
  <c r="I25" i="1" a="1"/>
  <c r="I228" i="1" a="1"/>
  <c r="I255" i="1" a="1"/>
  <c r="I159" i="1" a="1"/>
  <c r="I69" i="1" a="1"/>
  <c r="I118" i="1" a="1"/>
  <c r="I77" i="1" a="1"/>
  <c r="I98" i="1" a="1"/>
  <c r="I272" i="1" a="1"/>
  <c r="I19" i="1" a="1"/>
  <c r="I267" i="1" a="1"/>
  <c r="I27" i="1" a="1"/>
  <c r="I114" i="1" a="1"/>
  <c r="I65" i="1" a="1"/>
  <c r="I104" i="1" a="1"/>
  <c r="I51" i="1" a="1"/>
  <c r="I236" i="1" a="1"/>
  <c r="I78" i="1" a="1"/>
  <c r="I121" i="1" a="1"/>
  <c r="I211" i="1" a="1"/>
  <c r="I270" i="1" a="1"/>
  <c r="I122" i="1" a="1"/>
  <c r="I90" i="1" a="1"/>
  <c r="I155" i="1" a="1"/>
  <c r="I201" i="1" a="1"/>
  <c r="I167" i="1" a="1"/>
  <c r="I125" i="1" a="1"/>
  <c r="I213" i="1" a="1"/>
  <c r="I50" i="1" a="1"/>
  <c r="I33" i="1" a="1"/>
  <c r="I112" i="1" a="1"/>
  <c r="I210" i="1" a="1"/>
  <c r="I254" i="1" a="1"/>
  <c r="I53" i="1" a="1"/>
  <c r="I109" i="1" a="1"/>
  <c r="I295" i="1" a="1"/>
  <c r="I223" i="1" a="1"/>
  <c r="I266" i="1" a="1"/>
  <c r="I46" i="1" a="1"/>
  <c r="I161" i="1" a="1"/>
  <c r="I164" i="1" a="1"/>
  <c r="I232" i="1" a="1"/>
  <c r="I191" i="1" a="1"/>
  <c r="I199" i="1" a="1"/>
  <c r="I248" i="1" a="1"/>
  <c r="I103" i="1" a="1"/>
  <c r="I123" i="1" a="1"/>
  <c r="I130" i="1" a="1"/>
  <c r="I271" i="1" a="1"/>
  <c r="I227" i="1" a="1"/>
  <c r="I177" i="1" a="1"/>
  <c r="I54" i="1" a="1"/>
  <c r="I239" i="1" a="1"/>
  <c r="I151" i="1" a="1"/>
  <c r="I175" i="1" a="1"/>
  <c r="I216" i="1" a="1"/>
  <c r="I212" i="1" a="1"/>
  <c r="I186" i="1" a="1"/>
  <c r="I12" i="1" a="1"/>
  <c r="I240" i="1" a="1"/>
  <c r="I40" i="1" a="1"/>
  <c r="I229" i="1" a="1"/>
  <c r="I11" i="1" a="1"/>
  <c r="I129" i="1" a="1"/>
  <c r="I288" i="1" a="1"/>
  <c r="I263" i="1" a="1"/>
  <c r="I162" i="1" a="1"/>
  <c r="I95" i="1" a="1"/>
  <c r="I4" i="1" a="1"/>
  <c r="I67" i="1" a="1"/>
  <c r="I282" i="1" a="1"/>
  <c r="I134" i="1" a="1"/>
  <c r="I157" i="1" a="1"/>
  <c r="I226" i="1" a="1"/>
  <c r="I290" i="1" a="1"/>
  <c r="I31" i="1" a="1"/>
  <c r="I10" i="1" a="1"/>
  <c r="I70" i="1" a="1"/>
  <c r="I74" i="1" a="1"/>
  <c r="I205" i="1" a="1"/>
  <c r="I206" i="1" a="1"/>
  <c r="I253" i="1" a="1"/>
  <c r="I20" i="1" a="1"/>
  <c r="I195" i="1" a="1"/>
  <c r="I21" i="1" a="1"/>
  <c r="I59" i="1" a="1"/>
  <c r="I300" i="1" a="1"/>
  <c r="I269" i="1" a="1"/>
  <c r="I126" i="1" a="1"/>
  <c r="I190" i="1" a="1"/>
  <c r="I107" i="1" a="1"/>
  <c r="I82" i="1" a="1"/>
  <c r="I38" i="1" a="1"/>
  <c r="I260" i="1" a="1"/>
  <c r="I43" i="1" a="1"/>
  <c r="I92" i="1" a="1"/>
  <c r="I148" i="1" a="1"/>
  <c r="I197" i="1" a="1"/>
  <c r="I256" i="1" a="1"/>
  <c r="I219" i="1" a="1"/>
  <c r="I42" i="1" a="1"/>
  <c r="I158" i="1" a="1"/>
  <c r="I147" i="1" a="1"/>
  <c r="I160" i="1" a="1"/>
  <c r="I45" i="1" a="1"/>
  <c r="I127" i="1" a="1"/>
  <c r="I192" i="1" a="1"/>
  <c r="I15" i="1" a="1"/>
  <c r="I275" i="1" a="1"/>
  <c r="I215" i="1" a="1"/>
  <c r="I273" i="1" a="1"/>
  <c r="I100" i="1" a="1"/>
  <c r="I296" i="1" a="1"/>
  <c r="I234" i="1" a="1"/>
  <c r="I86" i="1" a="1"/>
  <c r="I49" i="1" a="1"/>
  <c r="I259" i="1" a="1"/>
  <c r="I169" i="1" a="1"/>
  <c r="I285" i="1" a="1"/>
  <c r="I29" i="1" a="1"/>
  <c r="I26" i="1" a="1"/>
  <c r="I281" i="1" a="1"/>
  <c r="I241" i="1" a="1"/>
  <c r="I75" i="1" a="1"/>
  <c r="I179" i="1" a="1"/>
  <c r="I106" i="1" a="1"/>
  <c r="I294" i="1" a="1"/>
  <c r="I30" i="1" a="1"/>
  <c r="I62" i="1" a="1"/>
  <c r="I298" i="1" a="1"/>
  <c r="I268" i="1" a="1"/>
  <c r="I144" i="1" a="1"/>
  <c r="I278" i="1" a="1"/>
  <c r="I72" i="1" a="1"/>
  <c r="I200" i="1" a="1"/>
  <c r="I23" i="1" a="1"/>
  <c r="I181" i="1" a="1"/>
  <c r="I55" i="1" a="1"/>
  <c r="I60" i="1" a="1"/>
  <c r="I297" i="1" a="1"/>
  <c r="I204" i="1" a="1"/>
  <c r="I52" i="1" a="1"/>
  <c r="I185" i="1" a="1"/>
  <c r="I251" i="1" a="1"/>
  <c r="I183" i="1" a="1"/>
  <c r="I5" i="1" a="1"/>
  <c r="I97" i="1" a="1"/>
  <c r="I79" i="1" a="1"/>
  <c r="I101" i="1" a="1"/>
  <c r="I221" i="1" a="1"/>
  <c r="I83" i="1" a="1"/>
  <c r="I280" i="1" a="1"/>
  <c r="I235" i="1" a="1"/>
  <c r="I3" i="1" a="1"/>
  <c r="I61" i="1" a="1"/>
  <c r="I170" i="1" a="1"/>
  <c r="I187" i="1" a="1"/>
  <c r="I32" i="1" a="1"/>
  <c r="I293" i="1" a="1"/>
  <c r="I172" i="1" a="1"/>
  <c r="I247" i="1" a="1"/>
  <c r="I173" i="1" a="1"/>
  <c r="I36" i="1" a="1"/>
  <c r="I292" i="1" a="1"/>
  <c r="I180" i="1" a="1"/>
  <c r="I146" i="1" a="1"/>
  <c r="I166" i="1" a="1"/>
  <c r="I115" i="1" a="1"/>
  <c r="I2" i="1" a="1"/>
  <c r="I237" i="1" a="1"/>
  <c r="I150" i="1" a="1"/>
  <c r="I225" i="1" a="1"/>
  <c r="I154" i="1" a="1"/>
  <c r="I132" i="1" a="1"/>
  <c r="I176" i="1" a="1"/>
  <c r="I184" i="1" a="1"/>
  <c r="I81" i="1" a="1"/>
  <c r="I143" i="1" a="1"/>
  <c r="I17" i="1" a="1"/>
  <c r="I203" i="1" a="1"/>
  <c r="I84" i="1" a="1"/>
  <c r="I196" i="1" a="1"/>
  <c r="I261" i="1" a="1"/>
  <c r="I102" i="1" a="1"/>
  <c r="I249" i="1" a="1"/>
  <c r="I139" i="1" a="1"/>
  <c r="I110" i="1" a="1"/>
  <c r="I96" i="1" a="1"/>
  <c r="I252" i="1" a="1"/>
  <c r="I89" i="1" a="1"/>
  <c r="I13" i="1" a="1"/>
  <c r="I34" i="1" a="1"/>
  <c r="I111" i="1" a="1"/>
  <c r="I258" i="1" a="1"/>
  <c r="I108" i="1" a="1"/>
  <c r="I76" i="1" a="1"/>
  <c r="I37" i="1" a="1"/>
  <c r="I47" i="1" a="1"/>
  <c r="I66" i="1" a="1"/>
  <c r="I64" i="1" a="1"/>
  <c r="I217" i="1" a="1"/>
  <c r="I133" i="1" a="1"/>
  <c r="I35" i="1" a="1"/>
  <c r="I174" i="1" a="1"/>
  <c r="I124" i="1" a="1"/>
  <c r="I289" i="1" a="1"/>
  <c r="I137" i="1" a="1"/>
  <c r="I168" i="1" a="1"/>
  <c r="I116" i="1" a="1"/>
  <c r="I265" i="1" a="1"/>
  <c r="I44" i="1" a="1"/>
  <c r="I99" i="1" a="1"/>
  <c r="I242" i="1" a="1"/>
  <c r="I6" i="1" a="1"/>
  <c r="I24" i="1" a="1"/>
  <c r="I39" i="1" a="1"/>
  <c r="I113" i="1" a="1"/>
  <c r="I178" i="1" a="1"/>
  <c r="I105" i="1" a="1"/>
  <c r="I80" i="1" a="1"/>
  <c r="I287" i="1" a="1"/>
  <c r="I63" i="1" a="1"/>
  <c r="I57" i="1" a="1"/>
  <c r="I279" i="1" a="1"/>
  <c r="I245" i="1" a="1"/>
  <c r="I194" i="1" a="1"/>
  <c r="I128" i="1" a="1"/>
  <c r="I188" i="1" a="1"/>
  <c r="I220" i="1" a="1"/>
  <c r="I209" i="1" a="1"/>
  <c r="I284" i="1" a="1"/>
  <c r="I218" i="1" a="1"/>
  <c r="I189" i="1" a="1"/>
  <c r="I291" i="1" a="1"/>
  <c r="I276" i="1" a="1"/>
  <c r="I283" i="1" a="1"/>
  <c r="I231" i="1" a="1"/>
  <c r="I299" i="1" a="1"/>
  <c r="I48" i="1" a="1"/>
  <c r="I16" i="1" a="1"/>
  <c r="I156" i="1" a="1"/>
  <c r="I214" i="1" a="1"/>
  <c r="I18" i="1" a="1"/>
  <c r="I73" i="1" a="1"/>
  <c r="I9" i="1" a="1"/>
  <c r="I250" i="1" a="1"/>
  <c r="I244" i="1" a="1"/>
  <c r="I262" i="1" a="1"/>
  <c r="I93" i="1" a="1"/>
  <c r="I141" i="1" a="1"/>
  <c r="I14" i="1" a="1"/>
  <c r="I91" i="1" a="1"/>
  <c r="I138" i="1" a="1"/>
  <c r="I68" i="1" a="1"/>
  <c r="I8" i="1" a="1"/>
  <c r="I28" i="1" a="1"/>
  <c r="I238" i="1" a="1"/>
  <c r="I117" i="1" a="1"/>
  <c r="I163" i="1" a="1"/>
  <c r="I140" i="1" a="1"/>
  <c r="I131" i="1" a="1"/>
  <c r="I152" i="1" a="1"/>
  <c r="I41" i="1" a="1"/>
  <c r="I135" i="1" a="1"/>
  <c r="I230" i="1" a="1"/>
  <c r="I149" i="1" a="1"/>
  <c r="I208" i="1" a="1"/>
  <c r="I94" i="1" a="1"/>
  <c r="I207" i="1" a="1"/>
  <c r="I243" i="1" a="1"/>
  <c r="I165" i="1" a="1"/>
  <c r="I7" i="1" a="1"/>
  <c r="I277" i="1" a="1"/>
  <c r="I202" i="1" a="1"/>
  <c r="I71" i="1" a="1"/>
  <c r="I171" i="1" a="1"/>
  <c r="I38" i="1" l="1"/>
  <c r="I259" i="1"/>
  <c r="I246" i="1"/>
  <c r="I220" i="1"/>
  <c r="I264" i="1"/>
  <c r="I94" i="1"/>
  <c r="I29" i="1"/>
  <c r="I171" i="1"/>
  <c r="I154" i="1"/>
  <c r="I118" i="1"/>
  <c r="I97" i="1"/>
  <c r="I288" i="1"/>
  <c r="I176" i="1"/>
  <c r="I244" i="1"/>
  <c r="I168" i="1"/>
  <c r="I201" i="1"/>
  <c r="I120" i="1"/>
  <c r="I296" i="1"/>
  <c r="I110" i="1"/>
  <c r="I205" i="1"/>
  <c r="I175" i="1"/>
  <c r="I285" i="1"/>
  <c r="I290" i="1"/>
  <c r="I90" i="1"/>
  <c r="I272" i="1"/>
  <c r="I299" i="1"/>
  <c r="I152" i="1"/>
  <c r="I132" i="1"/>
  <c r="I167" i="1"/>
  <c r="I261" i="1"/>
  <c r="I185" i="1"/>
  <c r="I242" i="1"/>
  <c r="I125" i="1"/>
  <c r="I74" i="1"/>
  <c r="I193" i="1"/>
  <c r="I64" i="1"/>
  <c r="I267" i="1"/>
  <c r="I101" i="1"/>
  <c r="I55" i="1"/>
  <c r="I143" i="1"/>
  <c r="I122" i="1"/>
  <c r="I62" i="1"/>
  <c r="I87" i="1"/>
  <c r="I66" i="1"/>
  <c r="I138" i="1"/>
  <c r="I276" i="1"/>
  <c r="I81" i="1"/>
  <c r="I295" i="1"/>
  <c r="I107" i="1"/>
  <c r="I157" i="1"/>
  <c r="I35" i="1"/>
  <c r="I240" i="1"/>
  <c r="I111" i="1"/>
  <c r="I103" i="1"/>
  <c r="I150" i="1"/>
  <c r="I48" i="1"/>
  <c r="I281" i="1"/>
  <c r="I73" i="1"/>
  <c r="I268" i="1"/>
  <c r="I226" i="1"/>
  <c r="I134" i="1"/>
  <c r="I153" i="1"/>
  <c r="I294" i="1"/>
  <c r="I89" i="1"/>
  <c r="I80" i="1"/>
  <c r="I248" i="1"/>
  <c r="I77" i="1"/>
  <c r="I69" i="1"/>
  <c r="I229" i="1"/>
  <c r="I7" i="1"/>
  <c r="I104" i="1"/>
  <c r="I34" i="1"/>
  <c r="I45" i="1"/>
  <c r="I130" i="1"/>
  <c r="I235" i="1"/>
  <c r="I59" i="1"/>
  <c r="I23" i="1"/>
  <c r="I180" i="1"/>
  <c r="I210" i="1"/>
  <c r="I221" i="1"/>
  <c r="I269" i="1"/>
  <c r="I164" i="1"/>
  <c r="I22" i="1"/>
  <c r="I99" i="1"/>
  <c r="I286" i="1"/>
  <c r="I32" i="1"/>
  <c r="I237" i="1"/>
  <c r="I218" i="1"/>
  <c r="I44" i="1"/>
  <c r="I108" i="1"/>
  <c r="I149" i="1"/>
  <c r="I98" i="1"/>
  <c r="I12" i="1"/>
  <c r="I273" i="1"/>
  <c r="I217" i="1"/>
  <c r="I181" i="1"/>
  <c r="I91" i="1"/>
  <c r="I113" i="1"/>
  <c r="I214" i="1"/>
  <c r="I263" i="1"/>
  <c r="I284" i="1"/>
  <c r="I172" i="1"/>
  <c r="I202" i="1"/>
  <c r="I177" i="1"/>
  <c r="I283" i="1"/>
  <c r="I223" i="1"/>
  <c r="I78" i="1"/>
  <c r="I112" i="1"/>
  <c r="I207" i="1"/>
  <c r="I241" i="1"/>
  <c r="I278" i="1"/>
  <c r="I196" i="1"/>
  <c r="I200" i="1"/>
  <c r="I250" i="1"/>
  <c r="I300" i="1"/>
  <c r="I182" i="1"/>
  <c r="I249" i="1"/>
  <c r="I204" i="1"/>
  <c r="I279" i="1"/>
  <c r="I256" i="1"/>
  <c r="I198" i="1"/>
  <c r="I239" i="1"/>
  <c r="I236" i="1"/>
  <c r="I61" i="1"/>
  <c r="I194" i="1"/>
  <c r="I245" i="1"/>
  <c r="I41" i="1"/>
  <c r="I282" i="1"/>
  <c r="I192" i="1"/>
  <c r="I247" i="1"/>
  <c r="I127" i="1"/>
  <c r="I254" i="1"/>
  <c r="I102" i="1"/>
  <c r="I225" i="1"/>
  <c r="I25" i="1"/>
  <c r="I83" i="1"/>
  <c r="I280" i="1"/>
  <c r="I39" i="1"/>
  <c r="I33" i="1"/>
  <c r="I21" i="1"/>
  <c r="I123" i="1"/>
  <c r="I141" i="1"/>
  <c r="I116" i="1"/>
  <c r="I161" i="1"/>
  <c r="I139" i="1"/>
  <c r="I137" i="1"/>
  <c r="I187" i="1"/>
  <c r="I40" i="1"/>
  <c r="I50" i="1"/>
  <c r="I31" i="1"/>
  <c r="I163" i="1"/>
  <c r="I128" i="1"/>
  <c r="I43" i="1"/>
  <c r="I65" i="1"/>
  <c r="I156" i="1"/>
  <c r="I169" i="1"/>
  <c r="I266" i="1"/>
  <c r="I262" i="1"/>
  <c r="I71" i="1"/>
  <c r="I243" i="1"/>
  <c r="I230" i="1"/>
  <c r="I53" i="1"/>
  <c r="I119" i="1"/>
  <c r="I213" i="1"/>
  <c r="I147" i="1"/>
  <c r="I158" i="1"/>
  <c r="I188" i="1"/>
  <c r="I3" i="1"/>
  <c r="I293" i="1"/>
  <c r="I289" i="1"/>
  <c r="I173" i="1"/>
  <c r="I170" i="1"/>
  <c r="I37" i="1"/>
  <c r="I95" i="1"/>
  <c r="I195" i="1"/>
  <c r="I5" i="1"/>
  <c r="I10" i="1"/>
  <c r="I72" i="1"/>
  <c r="I114" i="1"/>
  <c r="I51" i="1"/>
  <c r="I52" i="1"/>
  <c r="I233" i="1"/>
  <c r="I142" i="1"/>
  <c r="I184" i="1"/>
  <c r="I129" i="1"/>
  <c r="I124" i="1"/>
  <c r="I186" i="1"/>
  <c r="I79" i="1"/>
  <c r="I26" i="1"/>
  <c r="I265" i="1"/>
  <c r="I215" i="1"/>
  <c r="I16" i="1"/>
  <c r="I42" i="1"/>
  <c r="I165" i="1"/>
  <c r="I67" i="1"/>
  <c r="I251" i="1"/>
  <c r="I255" i="1"/>
  <c r="I212" i="1"/>
  <c r="I270" i="1"/>
  <c r="I260" i="1"/>
  <c r="I106" i="1"/>
  <c r="I197" i="1"/>
  <c r="I136" i="1"/>
  <c r="I183" i="1"/>
  <c r="I82" i="1"/>
  <c r="I151" i="1"/>
  <c r="I54" i="1"/>
  <c r="I13" i="1"/>
  <c r="I18" i="1"/>
  <c r="I189" i="1"/>
  <c r="I209" i="1"/>
  <c r="I2" i="1"/>
  <c r="I206" i="1"/>
  <c r="I46" i="1"/>
  <c r="I216" i="1"/>
  <c r="I63" i="1"/>
  <c r="I287" i="1"/>
  <c r="I30" i="1"/>
  <c r="I274" i="1"/>
  <c r="I232" i="1"/>
  <c r="I6" i="1"/>
  <c r="I75" i="1"/>
  <c r="I86" i="1"/>
  <c r="I162" i="1"/>
  <c r="I238" i="1"/>
  <c r="I228" i="1"/>
  <c r="I88" i="1"/>
  <c r="I57" i="1"/>
  <c r="I15" i="1"/>
  <c r="I145" i="1"/>
  <c r="I27" i="1"/>
  <c r="I9" i="1"/>
  <c r="I85" i="1"/>
  <c r="I199" i="1"/>
  <c r="I68" i="1"/>
  <c r="I174" i="1"/>
  <c r="I178" i="1"/>
  <c r="I17" i="1"/>
  <c r="I96" i="1"/>
  <c r="I166" i="1"/>
  <c r="I58" i="1"/>
  <c r="I93" i="1"/>
  <c r="I179" i="1"/>
  <c r="I4" i="1"/>
  <c r="I275" i="1"/>
  <c r="I47" i="1"/>
  <c r="I253" i="1"/>
  <c r="I28" i="1"/>
  <c r="I222" i="1"/>
  <c r="I60" i="1"/>
  <c r="I297" i="1"/>
  <c r="I148" i="1"/>
  <c r="I190" i="1"/>
  <c r="I49" i="1"/>
  <c r="I203" i="1"/>
  <c r="I109" i="1"/>
  <c r="I36" i="1"/>
  <c r="I208" i="1"/>
  <c r="I291" i="1"/>
  <c r="I252" i="1"/>
  <c r="I105" i="1"/>
  <c r="I11" i="1"/>
  <c r="I115" i="1"/>
  <c r="I135" i="1"/>
  <c r="I84" i="1"/>
  <c r="I146" i="1"/>
  <c r="I160" i="1"/>
  <c r="I14" i="1"/>
  <c r="I126" i="1"/>
  <c r="I56" i="1"/>
  <c r="I144" i="1"/>
  <c r="I76" i="1"/>
  <c r="I8" i="1"/>
  <c r="I70" i="1"/>
  <c r="I227" i="1"/>
  <c r="I219" i="1"/>
  <c r="I155" i="1"/>
  <c r="I117" i="1"/>
  <c r="I231" i="1"/>
  <c r="I20" i="1"/>
  <c r="I258" i="1"/>
  <c r="I191" i="1"/>
  <c r="I159" i="1"/>
  <c r="I140" i="1"/>
  <c r="I211" i="1"/>
  <c r="I234" i="1"/>
  <c r="I224" i="1"/>
  <c r="I121" i="1"/>
  <c r="I292" i="1"/>
  <c r="I24" i="1"/>
  <c r="I257" i="1"/>
  <c r="I100" i="1"/>
  <c r="I298" i="1"/>
  <c r="I271" i="1"/>
  <c r="I131" i="1"/>
  <c r="I133" i="1"/>
  <c r="I92" i="1"/>
  <c r="I19" i="1"/>
  <c r="I27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<sst xmlns="http://schemas.openxmlformats.org/spreadsheetml/2006/main" count="16" uniqueCount="15">
  <si>
    <t>Nº Sequencial</t>
  </si>
  <si>
    <t>Produto</t>
  </si>
  <si>
    <t>Descrição Produto</t>
  </si>
  <si>
    <t>Quantidade</t>
  </si>
  <si>
    <t>Unidade</t>
  </si>
  <si>
    <t>Preço Unitário</t>
  </si>
  <si>
    <t>Valor do Item</t>
  </si>
  <si>
    <t>Centro de Custo</t>
  </si>
  <si>
    <t>CB</t>
  </si>
  <si>
    <t>QNT DE ETIQUETAS</t>
  </si>
  <si>
    <t>estoque</t>
  </si>
  <si>
    <t>004</t>
  </si>
  <si>
    <t>CC</t>
  </si>
  <si>
    <t>OPERACIONAL EXTERNO</t>
  </si>
  <si>
    <t>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</si>
</sst>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3D3D3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10">
    <border>
      <left/>
      <right/>
      <top/>
      <bottom/>
      <diagonal/>
    </border>
    <border>
      <left/>
      <right style="thin">
        <color rgb="FFA9A9A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9A9A9"/>
      </left>
      <right style="thin">
        <color rgb="FFA9A9A9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1">
    <xf numFmtId="0" fontId="0" fillId="0" borderId="0" xfId="0"/>
    <xf numFmtId="49" fontId="1" fillId="2" borderId="1" xfId="0" applyNumberFormat="1" applyFont="1" applyFill="1" applyBorder="1" applyAlignment="1">
      <alignment horizontal="center" vertical="center" readingOrder="1"/>
    </xf>
    <xf numFmtId="49" fontId="1" fillId="2" borderId="3" xfId="0" applyNumberFormat="1" applyFont="1" applyFill="1" applyBorder="1" applyAlignment="1">
      <alignment horizontal="center" vertical="center" readingOrder="1"/>
    </xf>
    <xf numFmtId="49" fontId="1" fillId="5" borderId="3" xfId="0" applyNumberFormat="1" applyFont="1" applyFill="1" applyBorder="1" applyAlignment="1">
      <alignment horizontal="center" vertical="center" readingOrder="1"/>
    </xf>
    <xf numFmtId="0" fontId="1" fillId="3" borderId="2" xfId="0" applyFont="1" applyFill="1" applyBorder="1" applyAlignment="1">
      <alignment horizontal="right" vertical="center" readingOrder="1"/>
    </xf>
    <xf numFmtId="0" fontId="1" fillId="4" borderId="2" xfId="0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1" fillId="4" borderId="2" xfId="0" applyFont="1" applyFill="1" applyBorder="1" applyAlignment="1">
      <alignment horizontal="right" vertical="center" readingOrder="1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44" fontId="0" fillId="0" borderId="2" xfId="1" applyFont="1" applyBorder="1" applyAlignment="1">
      <alignment horizont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n">
          <color rgb="FFA9A9A9"/>
        </top>
      </border>
    </dxf>
    <dxf>
      <border outline="0">
        <left style="thin">
          <color rgb="FFA9A9A9"/>
        </left>
        <right style="thin">
          <color rgb="FFA9A9A9"/>
        </right>
        <top style="thin">
          <color rgb="FFA9A9A9"/>
        </top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fill>
        <patternFill patternType="solid">
          <fgColor indexed="64"/>
          <bgColor rgb="FFFFFFFF"/>
        </patternFill>
      </fill>
      <alignment horizontal="right" vertical="center" textRotation="0" wrapText="0" indent="0" justifyLastLine="0" shrinkToFit="0" readingOrder="1"/>
      <protection locked="1" hidden="0"/>
    </dxf>
    <dxf>
      <border outline="0">
        <bottom style="thin">
          <color rgb="FFA9A9A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Tahoma"/>
        <family val="2"/>
        <scheme val="none"/>
      </font>
      <numFmt numFmtId="30" formatCode="@"/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rgb="FFA9A9A9"/>
        </left>
        <right style="thin">
          <color rgb="FFA9A9A9"/>
        </right>
        <top/>
        <bottom/>
      </border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FFFFFF"/>
      <rgbColor rgb="00D3D3D3"/>
      <rgbColor rgb="00A9A9A9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1.%20SUBISTITUIR%20ESSE%20ARQUIV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</sheetNames>
    <sheetDataSet>
      <sheetData sheetId="0">
        <row r="1">
          <cell r="B1" t="str">
            <v>Produto</v>
          </cell>
          <cell r="C1" t="str">
            <v>Descrição Produto</v>
          </cell>
          <cell r="D1" t="str">
            <v>Quantidade</v>
          </cell>
          <cell r="E1" t="str">
            <v>Unidade</v>
          </cell>
          <cell r="F1" t="str">
            <v>Preço Unitário</v>
          </cell>
          <cell r="G1" t="str">
            <v>Valor do Item</v>
          </cell>
          <cell r="H1" t="str">
            <v>Centro de Custo</v>
          </cell>
          <cell r="I1" t="str">
            <v>Código Reduzido</v>
          </cell>
          <cell r="J1" t="str">
            <v>Número no Fabricante</v>
          </cell>
          <cell r="K1" t="str">
            <v>Código do Fabricante</v>
          </cell>
          <cell r="L1" t="str">
            <v>Código Auxiliar</v>
          </cell>
          <cell r="M1" t="str">
            <v>Valor Original do Item</v>
          </cell>
          <cell r="N1" t="str">
            <v>Preço Total</v>
          </cell>
          <cell r="O1" t="str">
            <v>Quantidade Total</v>
          </cell>
          <cell r="P1" t="str">
            <v>Quantidade Concluida</v>
          </cell>
          <cell r="Q1" t="str">
            <v>Protudo Composto de Origem</v>
          </cell>
        </row>
        <row r="2">
          <cell r="A2">
            <v>1</v>
          </cell>
          <cell r="B2" t="str">
            <v>0000001</v>
          </cell>
          <cell r="C2" t="str">
            <v>CURVA 90G PARA ELETRODUTO 1'' GALVANIZADO ELETROLITICO</v>
          </cell>
          <cell r="D2">
            <v>11</v>
          </cell>
          <cell r="E2" t="str">
            <v>PC</v>
          </cell>
          <cell r="F2">
            <v>0</v>
          </cell>
          <cell r="G2">
            <v>0</v>
          </cell>
          <cell r="H2" t="str">
            <v>XXXXX</v>
          </cell>
          <cell r="I2" t="str">
            <v>000985</v>
          </cell>
          <cell r="J2" t="str">
            <v>0000987</v>
          </cell>
          <cell r="K2" t="str">
            <v>0001</v>
          </cell>
          <cell r="O2">
            <v>11</v>
          </cell>
        </row>
        <row r="3">
          <cell r="A3">
            <v>2</v>
          </cell>
          <cell r="B3" t="str">
            <v>0000002</v>
          </cell>
          <cell r="C3" t="str">
            <v>UNIDUT CONICO COM ROSCA 1" *E001070040</v>
          </cell>
          <cell r="D3">
            <v>20</v>
          </cell>
          <cell r="E3" t="str">
            <v>PC</v>
          </cell>
          <cell r="F3">
            <v>0</v>
          </cell>
          <cell r="G3">
            <v>0</v>
          </cell>
          <cell r="H3" t="str">
            <v>XXXXX</v>
          </cell>
          <cell r="I3" t="str">
            <v>000945</v>
          </cell>
          <cell r="J3" t="str">
            <v>E001070040</v>
          </cell>
          <cell r="K3" t="str">
            <v>0023</v>
          </cell>
          <cell r="O3">
            <v>20</v>
          </cell>
        </row>
        <row r="4">
          <cell r="A4">
            <v>3</v>
          </cell>
          <cell r="B4" t="str">
            <v>0000003</v>
          </cell>
          <cell r="C4" t="str">
            <v>BUCHA ALUMINIO 1" BUA-20 *E001020041</v>
          </cell>
          <cell r="D4">
            <v>17</v>
          </cell>
          <cell r="E4" t="str">
            <v>PC</v>
          </cell>
          <cell r="F4">
            <v>0</v>
          </cell>
          <cell r="G4">
            <v>0</v>
          </cell>
          <cell r="H4" t="str">
            <v>XXXXX</v>
          </cell>
          <cell r="I4" t="str">
            <v>000706</v>
          </cell>
          <cell r="J4" t="str">
            <v>E001020041</v>
          </cell>
          <cell r="K4" t="str">
            <v>0023</v>
          </cell>
          <cell r="O4">
            <v>17</v>
          </cell>
        </row>
        <row r="5">
          <cell r="A5">
            <v>4</v>
          </cell>
          <cell r="B5" t="str">
            <v>0000004</v>
          </cell>
          <cell r="C5" t="str">
            <v>ARRUELA ALUMINIO 1" ARA-20 *E001010041</v>
          </cell>
          <cell r="D5">
            <v>30</v>
          </cell>
          <cell r="E5" t="str">
            <v>PC</v>
          </cell>
          <cell r="F5">
            <v>0</v>
          </cell>
          <cell r="G5">
            <v>0</v>
          </cell>
          <cell r="H5" t="str">
            <v>XXXXX</v>
          </cell>
          <cell r="I5" t="str">
            <v>000997</v>
          </cell>
          <cell r="J5" t="str">
            <v>E001010041</v>
          </cell>
          <cell r="K5" t="str">
            <v>0023</v>
          </cell>
          <cell r="O5">
            <v>30</v>
          </cell>
        </row>
        <row r="6">
          <cell r="A6">
            <v>5</v>
          </cell>
          <cell r="B6" t="str">
            <v>0000005</v>
          </cell>
          <cell r="C6" t="str">
            <v>SEALTUBO 1" COM ALMA DE ACO PRETO</v>
          </cell>
          <cell r="D6">
            <v>3</v>
          </cell>
          <cell r="E6" t="str">
            <v>M</v>
          </cell>
          <cell r="F6">
            <v>0</v>
          </cell>
          <cell r="G6">
            <v>0</v>
          </cell>
          <cell r="H6" t="str">
            <v>XXXXX</v>
          </cell>
          <cell r="I6" t="str">
            <v>000641</v>
          </cell>
          <cell r="J6" t="str">
            <v>0000604</v>
          </cell>
          <cell r="K6" t="str">
            <v>0001</v>
          </cell>
          <cell r="O6">
            <v>3</v>
          </cell>
        </row>
        <row r="7">
          <cell r="A7">
            <v>6</v>
          </cell>
          <cell r="B7" t="str">
            <v>0000006</v>
          </cell>
          <cell r="C7" t="str">
            <v>BUCHA ALUMINIO 3/4" BUA-15 *E001020031</v>
          </cell>
          <cell r="D7">
            <v>12</v>
          </cell>
          <cell r="E7" t="str">
            <v>PC</v>
          </cell>
          <cell r="F7">
            <v>0</v>
          </cell>
          <cell r="G7">
            <v>0</v>
          </cell>
          <cell r="H7" t="str">
            <v>XXXXX</v>
          </cell>
          <cell r="I7" t="str">
            <v>000099</v>
          </cell>
          <cell r="J7" t="str">
            <v>E001020031</v>
          </cell>
          <cell r="K7" t="str">
            <v>0023</v>
          </cell>
          <cell r="O7">
            <v>12</v>
          </cell>
        </row>
        <row r="8">
          <cell r="A8">
            <v>7</v>
          </cell>
          <cell r="B8" t="str">
            <v>0000007</v>
          </cell>
          <cell r="C8" t="str">
            <v>PARAFUSO CABECA FRANCESA 1/4"X 3/4"</v>
          </cell>
          <cell r="D8">
            <v>80</v>
          </cell>
          <cell r="E8" t="str">
            <v>PC</v>
          </cell>
          <cell r="F8">
            <v>0</v>
          </cell>
          <cell r="G8">
            <v>0</v>
          </cell>
          <cell r="H8" t="str">
            <v>XXXXX</v>
          </cell>
          <cell r="I8" t="str">
            <v>002472</v>
          </cell>
          <cell r="J8" t="str">
            <v>0002483</v>
          </cell>
          <cell r="K8" t="str">
            <v>0001</v>
          </cell>
          <cell r="O8">
            <v>80</v>
          </cell>
        </row>
        <row r="9">
          <cell r="A9">
            <v>8</v>
          </cell>
          <cell r="B9" t="str">
            <v>0000008</v>
          </cell>
          <cell r="C9" t="str">
            <v>PORCA SEXTAVADA 1/4"</v>
          </cell>
          <cell r="D9">
            <v>80</v>
          </cell>
          <cell r="E9" t="str">
            <v>PC</v>
          </cell>
          <cell r="F9">
            <v>0</v>
          </cell>
          <cell r="G9">
            <v>0</v>
          </cell>
          <cell r="H9" t="str">
            <v>XXXXX</v>
          </cell>
          <cell r="I9" t="str">
            <v>000335</v>
          </cell>
          <cell r="J9" t="str">
            <v>0000112</v>
          </cell>
          <cell r="K9" t="str">
            <v>0001</v>
          </cell>
          <cell r="O9">
            <v>80</v>
          </cell>
        </row>
        <row r="10">
          <cell r="A10">
            <v>9</v>
          </cell>
          <cell r="B10" t="str">
            <v>0000009</v>
          </cell>
          <cell r="C10" t="str">
            <v>BUCHA TOGGLE BOLT PARA DRYWALL COM PARAFUSO 1/4"</v>
          </cell>
          <cell r="D10">
            <v>20</v>
          </cell>
          <cell r="E10" t="str">
            <v>PC</v>
          </cell>
          <cell r="F10">
            <v>0</v>
          </cell>
          <cell r="G10">
            <v>0</v>
          </cell>
          <cell r="H10" t="str">
            <v>XXXXX</v>
          </cell>
          <cell r="I10" t="str">
            <v>000245</v>
          </cell>
          <cell r="J10" t="str">
            <v>0000232</v>
          </cell>
          <cell r="K10" t="str">
            <v>0001</v>
          </cell>
          <cell r="O10">
            <v>20</v>
          </cell>
        </row>
        <row r="11">
          <cell r="A11">
            <v>10</v>
          </cell>
          <cell r="B11" t="str">
            <v>0000010</v>
          </cell>
          <cell r="C11" t="str">
            <v>PARAFUSO M5X12 ESTRELA COM PINO TRAVANTE</v>
          </cell>
          <cell r="D11">
            <v>10</v>
          </cell>
          <cell r="E11" t="str">
            <v>PC</v>
          </cell>
          <cell r="F11">
            <v>0</v>
          </cell>
          <cell r="G11">
            <v>0</v>
          </cell>
          <cell r="H11" t="str">
            <v>XXXXX</v>
          </cell>
          <cell r="I11" t="str">
            <v>004242</v>
          </cell>
          <cell r="J11" t="str">
            <v>0004256</v>
          </cell>
          <cell r="K11" t="str">
            <v>0001</v>
          </cell>
          <cell r="O11">
            <v>10</v>
          </cell>
        </row>
        <row r="12">
          <cell r="A12">
            <v>11</v>
          </cell>
          <cell r="B12" t="str">
            <v>0000011</v>
          </cell>
          <cell r="C12" t="str">
            <v>CAIXA DE PASSAGEM 10X10 EM ALUMINIO</v>
          </cell>
          <cell r="D12">
            <v>5</v>
          </cell>
          <cell r="E12" t="str">
            <v>PC</v>
          </cell>
          <cell r="F12">
            <v>0</v>
          </cell>
          <cell r="G12">
            <v>0</v>
          </cell>
          <cell r="H12" t="str">
            <v>XXXXX</v>
          </cell>
          <cell r="I12" t="str">
            <v>002471</v>
          </cell>
          <cell r="J12" t="str">
            <v>0002482</v>
          </cell>
          <cell r="K12" t="str">
            <v>0001</v>
          </cell>
          <cell r="O12">
            <v>5</v>
          </cell>
        </row>
        <row r="13">
          <cell r="A13">
            <v>12</v>
          </cell>
          <cell r="B13" t="str">
            <v>0000012</v>
          </cell>
          <cell r="C13" t="str">
            <v>CURVA 90G PARA ELETRODUTO 3/4'' GALVANIZADO ELETROLITICO</v>
          </cell>
          <cell r="D13">
            <v>1</v>
          </cell>
          <cell r="E13" t="str">
            <v>PC</v>
          </cell>
          <cell r="F13">
            <v>0</v>
          </cell>
          <cell r="G13">
            <v>0</v>
          </cell>
          <cell r="H13" t="str">
            <v>XXXXX</v>
          </cell>
          <cell r="I13" t="str">
            <v>000116</v>
          </cell>
          <cell r="J13" t="str">
            <v>0000072</v>
          </cell>
          <cell r="K13" t="str">
            <v>0001</v>
          </cell>
          <cell r="O13">
            <v>1</v>
          </cell>
        </row>
        <row r="14">
          <cell r="A14">
            <v>13</v>
          </cell>
          <cell r="B14" t="str">
            <v>0000013</v>
          </cell>
          <cell r="C14" t="str">
            <v>ARRUELA ALUMINIO 3/4" ARA-15 *E001010031</v>
          </cell>
          <cell r="D14">
            <v>1</v>
          </cell>
          <cell r="E14" t="str">
            <v>PC</v>
          </cell>
          <cell r="F14">
            <v>0</v>
          </cell>
          <cell r="G14">
            <v>0</v>
          </cell>
          <cell r="H14" t="str">
            <v>XXXXX</v>
          </cell>
          <cell r="I14" t="str">
            <v>001310</v>
          </cell>
          <cell r="J14" t="str">
            <v>E001010031</v>
          </cell>
          <cell r="K14" t="str">
            <v>0023</v>
          </cell>
          <cell r="O14">
            <v>1</v>
          </cell>
        </row>
        <row r="15">
          <cell r="A15">
            <v>14</v>
          </cell>
          <cell r="B15" t="str">
            <v>0000014</v>
          </cell>
          <cell r="C15" t="str">
            <v>UNIDUT RETO SEM ROSCA 3/4" *56131/002</v>
          </cell>
          <cell r="D15">
            <v>4</v>
          </cell>
          <cell r="E15" t="str">
            <v>PC</v>
          </cell>
          <cell r="F15">
            <v>0</v>
          </cell>
          <cell r="G15">
            <v>0</v>
          </cell>
          <cell r="H15" t="str">
            <v>XXXXX</v>
          </cell>
          <cell r="I15" t="str">
            <v>002648</v>
          </cell>
          <cell r="J15" t="str">
            <v>56131/002</v>
          </cell>
          <cell r="K15" t="str">
            <v>0024</v>
          </cell>
          <cell r="O15">
            <v>4</v>
          </cell>
        </row>
        <row r="16">
          <cell r="A16">
            <v>15</v>
          </cell>
          <cell r="B16" t="str">
            <v>0000015</v>
          </cell>
          <cell r="C16" t="str">
            <v>ABRACADEIRA D CUNHA 1" GALVANIZADA</v>
          </cell>
          <cell r="D16">
            <v>10</v>
          </cell>
          <cell r="E16" t="str">
            <v>PC</v>
          </cell>
          <cell r="F16">
            <v>0</v>
          </cell>
          <cell r="G16">
            <v>0</v>
          </cell>
          <cell r="H16" t="str">
            <v>XXXXX</v>
          </cell>
          <cell r="I16" t="str">
            <v>001263</v>
          </cell>
          <cell r="J16" t="str">
            <v>0001274</v>
          </cell>
          <cell r="K16" t="str">
            <v>0001</v>
          </cell>
          <cell r="O16">
            <v>10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I300" totalsRowShown="0" headerRowDxfId="13" dataDxfId="11" headerRowBorderDxfId="12" tableBorderDxfId="10" totalsRowBorderDxfId="9">
  <autoFilter ref="A1:I300" xr:uid="{00000000-0009-0000-0100-000001000000}"/>
  <tableColumns count="9">
    <tableColumn id="1" xr3:uid="{00000000-0010-0000-0000-000001000000}" name="Nº Sequencial" dataDxfId="8">
      <calculatedColumnFormula>[1]Sheet!A2</calculatedColumnFormula>
    </tableColumn>
    <tableColumn id="2" xr3:uid="{00000000-0010-0000-0000-000002000000}" name="Produto" dataDxfId="7"/>
    <tableColumn id="3" xr3:uid="{00000000-0010-0000-0000-000003000000}" name="Descrição Produto" dataDxfId="6"/>
    <tableColumn id="4" xr3:uid="{00000000-0010-0000-0000-000004000000}" name="Quantidade" dataDxfId="5"/>
    <tableColumn id="5" xr3:uid="{00000000-0010-0000-0000-000005000000}" name="Unidade" dataDxfId="4"/>
    <tableColumn id="6" xr3:uid="{00000000-0010-0000-0000-000006000000}" name="Preço Unitário" dataDxfId="3"/>
    <tableColumn id="7" xr3:uid="{00000000-0010-0000-0000-000007000000}" name="Valor do Item" dataDxfId="2"/>
    <tableColumn id="8" xr3:uid="{00000000-0010-0000-0000-000008000000}" name="Centro de Custo" dataDxfId="1"/>
    <tableColumn id="18" xr3:uid="{00000000-0010-0000-0000-000012000000}" name="CB" dataDxfId="0">
      <calculatedColumnFormula array="1">code128(B2)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/>
  </sheetPr>
  <dimension ref="A1:M300"/>
  <sheetViews>
    <sheetView showGridLines="0" tabSelected="1" zoomScale="85" zoomScaleNormal="85" workbookViewId="0">
      <selection activeCell="F8" sqref="F8"/>
    </sheetView>
  </sheetViews>
  <sheetFormatPr defaultRowHeight="14.4" x14ac:dyDescent="0.3"/>
  <cols>
    <col min="1" max="1" width="14.109375" customWidth="1"/>
    <col min="2" max="2" width="25.6640625" style="11" bestFit="1" customWidth="1"/>
    <col min="3" max="3" width="56.5546875" bestFit="1" customWidth="1"/>
    <col min="4" max="4" width="12.44140625" style="6" customWidth="1"/>
    <col min="5" max="5" width="9.6640625" customWidth="1"/>
    <col min="6" max="6" width="14.5546875" customWidth="1"/>
    <col min="7" max="7" width="16" bestFit="1" customWidth="1"/>
    <col min="8" max="8" width="16" style="14" customWidth="1"/>
    <col min="9" max="9" width="23.33203125" customWidth="1"/>
    <col min="11" max="11" width="35.44140625" bestFit="1" customWidth="1"/>
    <col min="12" max="12" width="3.6640625" bestFit="1" customWidth="1"/>
  </cols>
  <sheetData>
    <row r="1" spans="1:13" ht="12.75" customHeight="1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</row>
    <row r="2" spans="1:13" ht="17.25" customHeight="1" x14ac:dyDescent="0.3">
      <c r="A2" s="4">
        <f>[1]Sheet!A2</f>
        <v>1</v>
      </c>
      <c r="B2" s="9" t="str">
        <f>HLOOKUP(B$1,[1]Sheet!$B$1:$AI$1754,2,0)</f>
        <v>0000001</v>
      </c>
      <c r="C2" s="9" t="str">
        <f>HLOOKUP(C$1,[1]Sheet!$B$1:$AI$1754,2,0)</f>
        <v>CURVA 90G PARA ELETRODUTO 1'' GALVANIZADO ELETROLITICO</v>
      </c>
      <c r="D2" s="8">
        <f>HLOOKUP(D$1,[1]Sheet!$B$1:$AI$1754,2,0)</f>
        <v>11</v>
      </c>
      <c r="E2" s="8" t="str">
        <f>HLOOKUP(E$1,[1]Sheet!$B$1:$AI$1754,2,0)</f>
        <v>PC</v>
      </c>
      <c r="F2" s="10">
        <f>HLOOKUP(F$1,[1]Sheet!$B$1:$AI$1754,2,0)</f>
        <v>0</v>
      </c>
      <c r="G2" s="8">
        <f>HLOOKUP(G$1,[1]Sheet!$B$1:$AI$1754,2,0)</f>
        <v>0</v>
      </c>
      <c r="H2" s="13" t="str">
        <f>IF(HLOOKUP(H$1,[1]Sheet!$B$1:$AI$1754,2,0)&lt;&gt;"999",HLOOKUP(H$1,[1]Sheet!$B$1:$AI$1754,2,0),"ESTOQUE")</f>
        <v>XXXXX</v>
      </c>
      <c r="I2" s="5" t="str" cm="1">
        <f t="array" ref="I2">code128(B2)</f>
        <v>Í   È1kÎ</v>
      </c>
      <c r="K2" s="15" t="s">
        <v>9</v>
      </c>
      <c r="L2" s="17">
        <f>COUNTIF(A:A,"&gt;" &amp; 0)</f>
        <v>15</v>
      </c>
      <c r="M2" s="18"/>
    </row>
    <row r="3" spans="1:13" ht="17.25" customHeight="1" thickBot="1" x14ac:dyDescent="0.35">
      <c r="A3" s="4">
        <f>[1]Sheet!A3</f>
        <v>2</v>
      </c>
      <c r="B3" s="9" t="str">
        <f>HLOOKUP(B$1,[1]Sheet!$B$1:$AI$1754,3,0)</f>
        <v>0000002</v>
      </c>
      <c r="C3" s="9" t="str">
        <f>HLOOKUP(C$1,[1]Sheet!$B$1:$AI$1754,3,0)</f>
        <v>UNIDUT CONICO COM ROSCA 1" *E001070040</v>
      </c>
      <c r="D3" s="8">
        <f>HLOOKUP(D$1,[1]Sheet!$B$1:$AI$1754,3,0)</f>
        <v>20</v>
      </c>
      <c r="E3" s="8" t="str">
        <f>HLOOKUP(E$1,[1]Sheet!$B$1:$AI$1754,3,0)</f>
        <v>PC</v>
      </c>
      <c r="F3" s="10">
        <f>HLOOKUP(F$1,[1]Sheet!$B$1:$AI$1754,3,0)</f>
        <v>0</v>
      </c>
      <c r="G3" s="8">
        <f>HLOOKUP(G$1,[1]Sheet!$B$1:$AI$1754,3,0)</f>
        <v>0</v>
      </c>
      <c r="H3" s="13" t="str">
        <f>IF(HLOOKUP(H$1,[1]Sheet!$B$1:$AI$1754,3,0)&lt;&gt;"999",HLOOKUP(H$1,[1]Sheet!$B$1:$AI$1754,3,0),"ESTOQUE")</f>
        <v>XXXXX</v>
      </c>
      <c r="I3" s="5" t="str" cm="1">
        <f t="array" ref="I3">code128(B3)</f>
        <v>Í   È2pÎ</v>
      </c>
      <c r="K3" s="16"/>
      <c r="L3" s="19"/>
      <c r="M3" s="20"/>
    </row>
    <row r="4" spans="1:13" x14ac:dyDescent="0.3">
      <c r="A4" s="4">
        <f>[1]Sheet!A4</f>
        <v>3</v>
      </c>
      <c r="B4" s="9" t="str">
        <f>HLOOKUP(B$1,[1]Sheet!$B$1:$AI$1754,4,0)</f>
        <v>0000003</v>
      </c>
      <c r="C4" s="9" t="str">
        <f>HLOOKUP(C$1,[1]Sheet!$B$1:$AI$1754,4,0)</f>
        <v>BUCHA ALUMINIO 1" BUA-20 *E001020041</v>
      </c>
      <c r="D4" s="8">
        <f>HLOOKUP(D$1,[1]Sheet!$B$1:$AI$1754,4,0)</f>
        <v>17</v>
      </c>
      <c r="E4" s="8" t="str">
        <f>HLOOKUP(E$1,[1]Sheet!$B$1:$AI$1754,4,0)</f>
        <v>PC</v>
      </c>
      <c r="F4" s="10">
        <f>HLOOKUP(F$1,[1]Sheet!$B$1:$AI$1754,4,0)</f>
        <v>0</v>
      </c>
      <c r="G4" s="8">
        <f>HLOOKUP(G$1,[1]Sheet!$B$1:$AI$1754,4,0)</f>
        <v>0</v>
      </c>
      <c r="H4" s="13" t="str">
        <f>IF(HLOOKUP(H$1,[1]Sheet!$B$1:$AI$1754,4,0)&lt;&gt;"999",HLOOKUP(H$1,[1]Sheet!$B$1:$AI$1754,4,0),"ESTOQUE")</f>
        <v>XXXXX</v>
      </c>
      <c r="I4" s="5" t="str" cm="1">
        <f t="array" ref="I4">code128(B4)</f>
        <v>Í   È3uÎ</v>
      </c>
    </row>
    <row r="5" spans="1:13" x14ac:dyDescent="0.3">
      <c r="A5" s="4">
        <f>[1]Sheet!A5</f>
        <v>4</v>
      </c>
      <c r="B5" s="9" t="str">
        <f>HLOOKUP(B$1,[1]Sheet!$B$1:$AI$1754,5,0)</f>
        <v>0000004</v>
      </c>
      <c r="C5" s="9" t="str">
        <f>HLOOKUP(C$1,[1]Sheet!$B$1:$AI$1754,5,0)</f>
        <v>ARRUELA ALUMINIO 1" ARA-20 *E001010041</v>
      </c>
      <c r="D5" s="8">
        <f>HLOOKUP(D$1,[1]Sheet!$B$1:$AI$1754,5,0)</f>
        <v>30</v>
      </c>
      <c r="E5" s="8" t="str">
        <f>HLOOKUP(E$1,[1]Sheet!$B$1:$AI$1754,5,0)</f>
        <v>PC</v>
      </c>
      <c r="F5" s="10">
        <f>HLOOKUP(F$1,[1]Sheet!$B$1:$AI$1754,5,0)</f>
        <v>0</v>
      </c>
      <c r="G5" s="8">
        <f>HLOOKUP(G$1,[1]Sheet!$B$1:$AI$1754,5,0)</f>
        <v>0</v>
      </c>
      <c r="H5" s="13" t="str">
        <f>IF(HLOOKUP(H$1,[1]Sheet!$B$1:$AI$1754,5,0)&lt;&gt;"999",HLOOKUP(H$1,[1]Sheet!$B$1:$AI$1754,5,0),"ESTOQUE")</f>
        <v>XXXXX</v>
      </c>
      <c r="I5" s="5" t="str" cm="1">
        <f t="array" ref="I5">code128(B5)</f>
        <v>Í   È4zÎ</v>
      </c>
    </row>
    <row r="6" spans="1:13" x14ac:dyDescent="0.3">
      <c r="A6" s="4">
        <f>[1]Sheet!A6</f>
        <v>5</v>
      </c>
      <c r="B6" s="9" t="str">
        <f>HLOOKUP(B$1,[1]Sheet!$B$1:$AI$1754,6,0)</f>
        <v>0000005</v>
      </c>
      <c r="C6" s="9" t="str">
        <f>HLOOKUP(C$1,[1]Sheet!$B$1:$AI$1754,6,0)</f>
        <v>SEALTUBO 1" COM ALMA DE ACO PRETO</v>
      </c>
      <c r="D6" s="8">
        <f>HLOOKUP(D$1,[1]Sheet!$B$1:$AI$1754,6,0)</f>
        <v>3</v>
      </c>
      <c r="E6" s="8" t="str">
        <f>HLOOKUP(E$1,[1]Sheet!$B$1:$AI$1754,6,0)</f>
        <v>M</v>
      </c>
      <c r="F6" s="10">
        <f>HLOOKUP(F$1,[1]Sheet!$B$1:$AI$1754,6,0)</f>
        <v>0</v>
      </c>
      <c r="G6" s="8">
        <f>HLOOKUP(G$1,[1]Sheet!$B$1:$AI$1754,6,0)</f>
        <v>0</v>
      </c>
      <c r="H6" s="13" t="str">
        <f>IF(HLOOKUP(H$1,[1]Sheet!$B$1:$AI$1754,6,0)&lt;&gt;"999",HLOOKUP(H$1,[1]Sheet!$B$1:$AI$1754,6,0),"ESTOQUE")</f>
        <v>XXXXX</v>
      </c>
      <c r="I6" s="5" t="str" cm="1">
        <f t="array" ref="I6">code128(B6)</f>
        <v>Í   È5ÃÎ</v>
      </c>
    </row>
    <row r="7" spans="1:13" x14ac:dyDescent="0.3">
      <c r="A7" s="4">
        <f>[1]Sheet!A7</f>
        <v>6</v>
      </c>
      <c r="B7" s="9" t="str">
        <f>HLOOKUP(B$1,[1]Sheet!$B$1:$AI$1754,7,0)</f>
        <v>0000006</v>
      </c>
      <c r="C7" s="9" t="str">
        <f>HLOOKUP(C$1,[1]Sheet!$B$1:$AI$1754,7,0)</f>
        <v>BUCHA ALUMINIO 3/4" BUA-15 *E001020031</v>
      </c>
      <c r="D7" s="8">
        <f>HLOOKUP(D$1,[1]Sheet!$B$1:$AI$1754,7,0)</f>
        <v>12</v>
      </c>
      <c r="E7" s="8" t="str">
        <f>HLOOKUP(E$1,[1]Sheet!$B$1:$AI$1754,7,0)</f>
        <v>PC</v>
      </c>
      <c r="F7" s="10">
        <f>HLOOKUP(F$1,[1]Sheet!$B$1:$AI$1754,7,0)</f>
        <v>0</v>
      </c>
      <c r="G7" s="8">
        <f>HLOOKUP(G$1,[1]Sheet!$B$1:$AI$1754,7,0)</f>
        <v>0</v>
      </c>
      <c r="H7" s="13" t="str">
        <f>IF(HLOOKUP(H$1,[1]Sheet!$B$1:$AI$1754,7,0)&lt;&gt;"999",HLOOKUP(H$1,[1]Sheet!$B$1:$AI$1754,7,0),"ESTOQUE")</f>
        <v>XXXXX</v>
      </c>
      <c r="I7" s="5" t="str" cm="1">
        <f t="array" ref="I7">code128(B7)</f>
        <v>Í   È6ÈÎ</v>
      </c>
    </row>
    <row r="8" spans="1:13" x14ac:dyDescent="0.3">
      <c r="A8" s="4">
        <f>[1]Sheet!A8</f>
        <v>7</v>
      </c>
      <c r="B8" s="9" t="str">
        <f>HLOOKUP(B$1,[1]Sheet!$B$1:$AI$1754,8,0)</f>
        <v>0000007</v>
      </c>
      <c r="C8" s="9" t="str">
        <f>HLOOKUP(C$1,[1]Sheet!$B$1:$AI$1754,8,0)</f>
        <v>PARAFUSO CABECA FRANCESA 1/4"X 3/4"</v>
      </c>
      <c r="D8" s="8">
        <f>HLOOKUP(D$1,[1]Sheet!$B$1:$AI$1754,8,0)</f>
        <v>80</v>
      </c>
      <c r="E8" s="8" t="str">
        <f>HLOOKUP(E$1,[1]Sheet!$B$1:$AI$1754,8,0)</f>
        <v>PC</v>
      </c>
      <c r="F8" s="10">
        <f>HLOOKUP(F$1,[1]Sheet!$B$1:$AI$1754,8,0)</f>
        <v>0</v>
      </c>
      <c r="G8" s="8">
        <f>HLOOKUP(G$1,[1]Sheet!$B$1:$AI$1754,8,0)</f>
        <v>0</v>
      </c>
      <c r="H8" s="13" t="str">
        <f>IF(HLOOKUP(H$1,[1]Sheet!$B$1:$AI$1754,8,0)&lt;&gt;"999",HLOOKUP(H$1,[1]Sheet!$B$1:$AI$1754,8,0),"ESTOQUE")</f>
        <v>XXXXX</v>
      </c>
      <c r="I8" s="5" t="str" cm="1">
        <f t="array" ref="I8">code128(B8)</f>
        <v>Í   È7"Î</v>
      </c>
    </row>
    <row r="9" spans="1:13" x14ac:dyDescent="0.3">
      <c r="A9" s="4">
        <f>[1]Sheet!A9</f>
        <v>8</v>
      </c>
      <c r="B9" s="9" t="str">
        <f>HLOOKUP(B$1,[1]Sheet!$B$1:$AI$1754,9,0)</f>
        <v>0000008</v>
      </c>
      <c r="C9" s="9" t="str">
        <f>HLOOKUP(C$1,[1]Sheet!$B$1:$AI$1754,9,0)</f>
        <v>PORCA SEXTAVADA 1/4"</v>
      </c>
      <c r="D9" s="8">
        <f>HLOOKUP(D$1,[1]Sheet!$B$1:$AI$1754,9,0)</f>
        <v>80</v>
      </c>
      <c r="E9" s="8" t="str">
        <f>HLOOKUP(E$1,[1]Sheet!$B$1:$AI$1754,9,0)</f>
        <v>PC</v>
      </c>
      <c r="F9" s="10">
        <f>HLOOKUP(F$1,[1]Sheet!$B$1:$AI$1754,9,0)</f>
        <v>0</v>
      </c>
      <c r="G9" s="8">
        <f>HLOOKUP(G$1,[1]Sheet!$B$1:$AI$1754,9,0)</f>
        <v>0</v>
      </c>
      <c r="H9" s="13" t="str">
        <f>IF(HLOOKUP(H$1,[1]Sheet!$B$1:$AI$1754,9,0)&lt;&gt;"999",HLOOKUP(H$1,[1]Sheet!$B$1:$AI$1754,9,0),"ESTOQUE")</f>
        <v>XXXXX</v>
      </c>
      <c r="I9" s="5" t="str" cm="1">
        <f t="array" ref="I9">code128(B9)</f>
        <v>Í   È8'Î</v>
      </c>
    </row>
    <row r="10" spans="1:13" x14ac:dyDescent="0.3">
      <c r="A10" s="4">
        <f>[1]Sheet!A10</f>
        <v>9</v>
      </c>
      <c r="B10" s="9" t="str">
        <f>HLOOKUP(B$1,[1]Sheet!$B$1:$AI$1754,10,0)</f>
        <v>0000009</v>
      </c>
      <c r="C10" s="9" t="str">
        <f>HLOOKUP(C$1,[1]Sheet!$B$1:$AI$1754,10,0)</f>
        <v>BUCHA TOGGLE BOLT PARA DRYWALL COM PARAFUSO 1/4"</v>
      </c>
      <c r="D10" s="8">
        <f>HLOOKUP(D$1,[1]Sheet!$B$1:$AI$1754,10,0)</f>
        <v>20</v>
      </c>
      <c r="E10" s="8" t="str">
        <f>HLOOKUP(E$1,[1]Sheet!$B$1:$AI$1754,10,0)</f>
        <v>PC</v>
      </c>
      <c r="F10" s="10">
        <f>HLOOKUP(F$1,[1]Sheet!$B$1:$AI$1754,10,0)</f>
        <v>0</v>
      </c>
      <c r="G10" s="8">
        <f>HLOOKUP(G$1,[1]Sheet!$B$1:$AI$1754,10,0)</f>
        <v>0</v>
      </c>
      <c r="H10" s="13" t="str">
        <f>IF(HLOOKUP(H$1,[1]Sheet!$B$1:$AI$1754,10,0)&lt;&gt;"999",HLOOKUP(H$1,[1]Sheet!$B$1:$AI$1754,10,0),"ESTOQUE")</f>
        <v>XXXXX</v>
      </c>
      <c r="I10" s="5" t="str" cm="1">
        <f t="array" ref="I10">code128(B10)</f>
        <v>Í   È9,Î</v>
      </c>
    </row>
    <row r="11" spans="1:13" x14ac:dyDescent="0.3">
      <c r="A11" s="4">
        <f>[1]Sheet!A11</f>
        <v>10</v>
      </c>
      <c r="B11" s="9" t="str">
        <f>HLOOKUP(B$1,[1]Sheet!$B$1:$AI$1754,11,0)</f>
        <v>0000010</v>
      </c>
      <c r="C11" s="9" t="str">
        <f>HLOOKUP(C$1,[1]Sheet!$B$1:$AI$1754,11,0)</f>
        <v>PARAFUSO M5X12 ESTRELA COM PINO TRAVANTE</v>
      </c>
      <c r="D11" s="8">
        <f>HLOOKUP(D$1,[1]Sheet!$B$1:$AI$1754,11,0)</f>
        <v>10</v>
      </c>
      <c r="E11" s="8" t="str">
        <f>HLOOKUP(E$1,[1]Sheet!$B$1:$AI$1754,11,0)</f>
        <v>PC</v>
      </c>
      <c r="F11" s="10">
        <f>HLOOKUP(F$1,[1]Sheet!$B$1:$AI$1754,11,0)</f>
        <v>0</v>
      </c>
      <c r="G11" s="8">
        <f>HLOOKUP(G$1,[1]Sheet!$B$1:$AI$1754,11,0)</f>
        <v>0</v>
      </c>
      <c r="H11" s="13" t="str">
        <f>IF(HLOOKUP(H$1,[1]Sheet!$B$1:$AI$1754,11,0)&lt;&gt;"999",HLOOKUP(H$1,[1]Sheet!$B$1:$AI$1754,11,0),"ESTOQUE")</f>
        <v>XXXXX</v>
      </c>
      <c r="I11" s="5" t="str" cm="1">
        <f t="array" ref="I11">code128(B11)</f>
        <v>Í  !È0iÎ</v>
      </c>
    </row>
    <row r="12" spans="1:13" x14ac:dyDescent="0.3">
      <c r="A12" s="4">
        <f>[1]Sheet!A12</f>
        <v>11</v>
      </c>
      <c r="B12" s="9" t="str">
        <f>HLOOKUP(B$1,[1]Sheet!$B$1:$AI$1754,12,0)</f>
        <v>0000011</v>
      </c>
      <c r="C12" s="9" t="str">
        <f>HLOOKUP(C$1,[1]Sheet!$B$1:$AI$1754,12,0)</f>
        <v>CAIXA DE PASSAGEM 10X10 EM ALUMINIO</v>
      </c>
      <c r="D12" s="8">
        <f>HLOOKUP(D$1,[1]Sheet!$B$1:$AI$1754,12,0)</f>
        <v>5</v>
      </c>
      <c r="E12" s="8" t="str">
        <f>HLOOKUP(E$1,[1]Sheet!$B$1:$AI$1754,12,0)</f>
        <v>PC</v>
      </c>
      <c r="F12" s="10">
        <f>HLOOKUP(F$1,[1]Sheet!$B$1:$AI$1754,12,0)</f>
        <v>0</v>
      </c>
      <c r="G12" s="8">
        <f>HLOOKUP(G$1,[1]Sheet!$B$1:$AI$1754,12,0)</f>
        <v>0</v>
      </c>
      <c r="H12" s="13" t="str">
        <f>IF(HLOOKUP(H$1,[1]Sheet!$B$1:$AI$1754,12,0)&lt;&gt;"999",HLOOKUP(H$1,[1]Sheet!$B$1:$AI$1754,12,0),"ESTOQUE")</f>
        <v>XXXXX</v>
      </c>
      <c r="I12" s="5" t="str" cm="1">
        <f t="array" ref="I12">code128(B12)</f>
        <v>Í  !È1nÎ</v>
      </c>
    </row>
    <row r="13" spans="1:13" x14ac:dyDescent="0.3">
      <c r="A13" s="4">
        <f>[1]Sheet!A13</f>
        <v>12</v>
      </c>
      <c r="B13" s="9" t="str">
        <f>HLOOKUP(B$1,[1]Sheet!$B$1:$AI$1754,13,0)</f>
        <v>0000012</v>
      </c>
      <c r="C13" s="9" t="str">
        <f>HLOOKUP(C$1,[1]Sheet!$B$1:$AI$1754,13,0)</f>
        <v>CURVA 90G PARA ELETRODUTO 3/4'' GALVANIZADO ELETROLITICO</v>
      </c>
      <c r="D13" s="8">
        <f>HLOOKUP(D$1,[1]Sheet!$B$1:$AI$1754,13,0)</f>
        <v>1</v>
      </c>
      <c r="E13" s="8" t="str">
        <f>HLOOKUP(E$1,[1]Sheet!$B$1:$AI$1754,13,0)</f>
        <v>PC</v>
      </c>
      <c r="F13" s="10">
        <f>HLOOKUP(F$1,[1]Sheet!$B$1:$AI$1754,13,0)</f>
        <v>0</v>
      </c>
      <c r="G13" s="8">
        <f>HLOOKUP(G$1,[1]Sheet!$B$1:$AI$1754,13,0)</f>
        <v>0</v>
      </c>
      <c r="H13" s="13" t="str">
        <f>IF(HLOOKUP(H$1,[1]Sheet!$B$1:$AI$1754,13,0)&lt;&gt;"999",HLOOKUP(H$1,[1]Sheet!$B$1:$AI$1754,13,0),"ESTOQUE")</f>
        <v>XXXXX</v>
      </c>
      <c r="I13" s="5" t="str" cm="1">
        <f t="array" ref="I13">code128(B13)</f>
        <v>Í  !È2sÎ</v>
      </c>
    </row>
    <row r="14" spans="1:13" x14ac:dyDescent="0.3">
      <c r="A14" s="4">
        <f>[1]Sheet!A14</f>
        <v>13</v>
      </c>
      <c r="B14" s="9" t="str">
        <f>HLOOKUP(B$1,[1]Sheet!$B$1:$AI$1754,14,0)</f>
        <v>0000013</v>
      </c>
      <c r="C14" s="9" t="str">
        <f>HLOOKUP(C$1,[1]Sheet!$B$1:$AI$1754,14,0)</f>
        <v>ARRUELA ALUMINIO 3/4" ARA-15 *E001010031</v>
      </c>
      <c r="D14" s="8">
        <f>HLOOKUP(D$1,[1]Sheet!$B$1:$AI$1754,14,0)</f>
        <v>1</v>
      </c>
      <c r="E14" s="8" t="str">
        <f>HLOOKUP(E$1,[1]Sheet!$B$1:$AI$1754,14,0)</f>
        <v>PC</v>
      </c>
      <c r="F14" s="10">
        <f>HLOOKUP(F$1,[1]Sheet!$B$1:$AI$1754,14,0)</f>
        <v>0</v>
      </c>
      <c r="G14" s="8">
        <f>HLOOKUP(G$1,[1]Sheet!$B$1:$AI$1754,14,0)</f>
        <v>0</v>
      </c>
      <c r="H14" s="13" t="str">
        <f>IF(HLOOKUP(H$1,[1]Sheet!$B$1:$AI$1754,14,0)&lt;&gt;"999",HLOOKUP(H$1,[1]Sheet!$B$1:$AI$1754,14,0),"ESTOQUE")</f>
        <v>XXXXX</v>
      </c>
      <c r="I14" s="5" t="str" cm="1">
        <f t="array" ref="I14">code128(B14)</f>
        <v>Í  !È3xÎ</v>
      </c>
    </row>
    <row r="15" spans="1:13" x14ac:dyDescent="0.3">
      <c r="A15" s="4">
        <f>[1]Sheet!A15</f>
        <v>14</v>
      </c>
      <c r="B15" s="9" t="str">
        <f>HLOOKUP(B$1,[1]Sheet!$B$1:$AI$1754,15,0)</f>
        <v>0000014</v>
      </c>
      <c r="C15" s="9" t="str">
        <f>HLOOKUP(C$1,[1]Sheet!$B$1:$AI$1754,15,0)</f>
        <v>UNIDUT RETO SEM ROSCA 3/4" *56131/002</v>
      </c>
      <c r="D15" s="8">
        <f>HLOOKUP(D$1,[1]Sheet!$B$1:$AI$1754,15,0)</f>
        <v>4</v>
      </c>
      <c r="E15" s="8" t="str">
        <f>HLOOKUP(E$1,[1]Sheet!$B$1:$AI$1754,15,0)</f>
        <v>PC</v>
      </c>
      <c r="F15" s="10">
        <f>HLOOKUP(F$1,[1]Sheet!$B$1:$AI$1754,15,0)</f>
        <v>0</v>
      </c>
      <c r="G15" s="8">
        <f>HLOOKUP(G$1,[1]Sheet!$B$1:$AI$1754,15,0)</f>
        <v>0</v>
      </c>
      <c r="H15" s="13" t="str">
        <f>IF(HLOOKUP(H$1,[1]Sheet!$B$1:$AI$1754,15,0)&lt;&gt;"999",HLOOKUP(H$1,[1]Sheet!$B$1:$AI$1754,15,0),"ESTOQUE")</f>
        <v>XXXXX</v>
      </c>
      <c r="I15" s="5" t="str" cm="1">
        <f t="array" ref="I15">code128(B15)</f>
        <v>Í  !È4}Î</v>
      </c>
    </row>
    <row r="16" spans="1:13" x14ac:dyDescent="0.3">
      <c r="A16" s="4">
        <f>[1]Sheet!A16</f>
        <v>15</v>
      </c>
      <c r="B16" s="9" t="str">
        <f>HLOOKUP(B$1,[1]Sheet!$B$1:$AI$1754,16,0)</f>
        <v>0000015</v>
      </c>
      <c r="C16" s="9" t="str">
        <f>HLOOKUP(C$1,[1]Sheet!$B$1:$AI$1754,16,0)</f>
        <v>ABRACADEIRA D CUNHA 1" GALVANIZADA</v>
      </c>
      <c r="D16" s="8">
        <f>HLOOKUP(D$1,[1]Sheet!$B$1:$AI$1754,16,0)</f>
        <v>10</v>
      </c>
      <c r="E16" s="8" t="str">
        <f>HLOOKUP(E$1,[1]Sheet!$B$1:$AI$1754,16,0)</f>
        <v>PC</v>
      </c>
      <c r="F16" s="10">
        <f>HLOOKUP(F$1,[1]Sheet!$B$1:$AI$1754,16,0)</f>
        <v>0</v>
      </c>
      <c r="G16" s="8">
        <f>HLOOKUP(G$1,[1]Sheet!$B$1:$AI$1754,16,0)</f>
        <v>0</v>
      </c>
      <c r="H16" s="13" t="str">
        <f>IF(HLOOKUP(H$1,[1]Sheet!$B$1:$AI$1754,16,0)&lt;&gt;"999",HLOOKUP(H$1,[1]Sheet!$B$1:$AI$1754,16,0),"ESTOQUE")</f>
        <v>XXXXX</v>
      </c>
      <c r="I16" s="5" t="str" cm="1">
        <f t="array" ref="I16">code128(B16)</f>
        <v>Í  !È5ÆÎ</v>
      </c>
    </row>
    <row r="17" spans="1:9" x14ac:dyDescent="0.3">
      <c r="A17" s="4">
        <f>[1]Sheet!A17</f>
        <v>0</v>
      </c>
      <c r="B17" s="9">
        <f>HLOOKUP(B$1,[1]Sheet!$B$1:$AI$1754,17,0)</f>
        <v>0</v>
      </c>
      <c r="C17" s="9">
        <f>HLOOKUP(C$1,[1]Sheet!$B$1:$AI$1754,17,0)</f>
        <v>0</v>
      </c>
      <c r="D17" s="8">
        <f>HLOOKUP(D$1,[1]Sheet!$B$1:$AI$1754,17,0)</f>
        <v>0</v>
      </c>
      <c r="E17" s="8">
        <f>HLOOKUP(E$1,[1]Sheet!$B$1:$AI$1754,17,0)</f>
        <v>0</v>
      </c>
      <c r="F17" s="10">
        <f>HLOOKUP(F$1,[1]Sheet!$B$1:$AI$1754,17,0)</f>
        <v>0</v>
      </c>
      <c r="G17" s="8">
        <f>HLOOKUP(G$1,[1]Sheet!$B$1:$AI$1754,17,0)</f>
        <v>0</v>
      </c>
      <c r="H17" s="13">
        <f>IF(HLOOKUP(H$1,[1]Sheet!$B$1:$AI$1754,17,0)&lt;&gt;"999",HLOOKUP(H$1,[1]Sheet!$B$1:$AI$1754,17,0),"ESTOQUE")</f>
        <v>0</v>
      </c>
      <c r="I17" s="5" t="str" cm="1">
        <f t="array" ref="I17">code128(B17)</f>
        <v>Ì01Î</v>
      </c>
    </row>
    <row r="18" spans="1:9" x14ac:dyDescent="0.3">
      <c r="A18" s="4">
        <f>[1]Sheet!A18</f>
        <v>0</v>
      </c>
      <c r="B18" s="9">
        <f>HLOOKUP(B$1,[1]Sheet!$B$1:$AI$1754,18,0)</f>
        <v>0</v>
      </c>
      <c r="C18" s="9">
        <f>HLOOKUP(C$1,[1]Sheet!$B$1:$AI$1754,18,0)</f>
        <v>0</v>
      </c>
      <c r="D18" s="8">
        <f>HLOOKUP(D$1,[1]Sheet!$B$1:$AI$1754,18,0)</f>
        <v>0</v>
      </c>
      <c r="E18" s="8">
        <f>HLOOKUP(E$1,[1]Sheet!$B$1:$AI$1754,18,0)</f>
        <v>0</v>
      </c>
      <c r="F18" s="10">
        <f>HLOOKUP(F$1,[1]Sheet!$B$1:$AI$1754,18,0)</f>
        <v>0</v>
      </c>
      <c r="G18" s="8">
        <f>HLOOKUP(G$1,[1]Sheet!$B$1:$AI$1754,18,0)</f>
        <v>0</v>
      </c>
      <c r="H18" s="13">
        <f>IF(HLOOKUP(H$1,[1]Sheet!$B$1:$AI$1754,18,0)&lt;&gt;"999",HLOOKUP(H$1,[1]Sheet!$B$1:$AI$1754,18,0),"ESTOQUE")</f>
        <v>0</v>
      </c>
      <c r="I18" s="5" t="str" cm="1">
        <f t="array" ref="I18">code128(B18)</f>
        <v>Ì01Î</v>
      </c>
    </row>
    <row r="19" spans="1:9" x14ac:dyDescent="0.3">
      <c r="A19" s="4">
        <f>[1]Sheet!A19</f>
        <v>0</v>
      </c>
      <c r="B19" s="9">
        <f>HLOOKUP(B$1,[1]Sheet!$B$1:$AI$1754,19,0)</f>
        <v>0</v>
      </c>
      <c r="C19" s="9">
        <f>HLOOKUP(C$1,[1]Sheet!$B$1:$AI$1754,19,0)</f>
        <v>0</v>
      </c>
      <c r="D19" s="8">
        <f>HLOOKUP(D$1,[1]Sheet!$B$1:$AI$1754,19,0)</f>
        <v>0</v>
      </c>
      <c r="E19" s="8">
        <f>HLOOKUP(E$1,[1]Sheet!$B$1:$AI$1754,19,0)</f>
        <v>0</v>
      </c>
      <c r="F19" s="10">
        <f>HLOOKUP(F$1,[1]Sheet!$B$1:$AI$1754,19,0)</f>
        <v>0</v>
      </c>
      <c r="G19" s="8">
        <f>HLOOKUP(G$1,[1]Sheet!$B$1:$AI$1754,19,0)</f>
        <v>0</v>
      </c>
      <c r="H19" s="13">
        <f>IF(HLOOKUP(H$1,[1]Sheet!$B$1:$AI$1754,19,0)&lt;&gt;"999",HLOOKUP(H$1,[1]Sheet!$B$1:$AI$1754,19,0),"ESTOQUE")</f>
        <v>0</v>
      </c>
      <c r="I19" s="5" t="str" cm="1">
        <f t="array" ref="I19">code128(B19)</f>
        <v>Ì01Î</v>
      </c>
    </row>
    <row r="20" spans="1:9" x14ac:dyDescent="0.3">
      <c r="A20" s="4">
        <f>[1]Sheet!A20</f>
        <v>0</v>
      </c>
      <c r="B20" s="9">
        <f>HLOOKUP(B$1,[1]Sheet!$B$1:$AI$1754,20,0)</f>
        <v>0</v>
      </c>
      <c r="C20" s="9">
        <f>HLOOKUP(C$1,[1]Sheet!$B$1:$AI$1754,20,0)</f>
        <v>0</v>
      </c>
      <c r="D20" s="8">
        <f>HLOOKUP(D$1,[1]Sheet!$B$1:$AI$1754,20,0)</f>
        <v>0</v>
      </c>
      <c r="E20" s="8">
        <f>HLOOKUP(E$1,[1]Sheet!$B$1:$AI$1754,20,0)</f>
        <v>0</v>
      </c>
      <c r="F20" s="10">
        <f>HLOOKUP(F$1,[1]Sheet!$B$1:$AI$1754,20,0)</f>
        <v>0</v>
      </c>
      <c r="G20" s="8">
        <f>HLOOKUP(G$1,[1]Sheet!$B$1:$AI$1754,20,0)</f>
        <v>0</v>
      </c>
      <c r="H20" s="13">
        <f>IF(HLOOKUP(H$1,[1]Sheet!$B$1:$AI$1754,20,0)&lt;&gt;"999",HLOOKUP(H$1,[1]Sheet!$B$1:$AI$1754,20,0),"ESTOQUE")</f>
        <v>0</v>
      </c>
      <c r="I20" s="5" t="str" cm="1">
        <f t="array" ref="I20">code128(B20)</f>
        <v>Ì01Î</v>
      </c>
    </row>
    <row r="21" spans="1:9" x14ac:dyDescent="0.3">
      <c r="A21" s="4">
        <f>[1]Sheet!A21</f>
        <v>0</v>
      </c>
      <c r="B21" s="9">
        <f>HLOOKUP(B$1,[1]Sheet!$B$1:$AI$1754,21,0)</f>
        <v>0</v>
      </c>
      <c r="C21" s="9">
        <f>HLOOKUP(C$1,[1]Sheet!$B$1:$AI$1754,21,0)</f>
        <v>0</v>
      </c>
      <c r="D21" s="8">
        <f>HLOOKUP(D$1,[1]Sheet!$B$1:$AI$1754,21,0)</f>
        <v>0</v>
      </c>
      <c r="E21" s="8">
        <f>HLOOKUP(E$1,[1]Sheet!$B$1:$AI$1754,21,0)</f>
        <v>0</v>
      </c>
      <c r="F21" s="10">
        <f>HLOOKUP(F$1,[1]Sheet!$B$1:$AI$1754,21,0)</f>
        <v>0</v>
      </c>
      <c r="G21" s="8">
        <f>HLOOKUP(G$1,[1]Sheet!$B$1:$AI$1754,21,0)</f>
        <v>0</v>
      </c>
      <c r="H21" s="13">
        <f>IF(HLOOKUP(H$1,[1]Sheet!$B$1:$AI$1754,21,0)&lt;&gt;"999",HLOOKUP(H$1,[1]Sheet!$B$1:$AI$1754,21,0),"ESTOQUE")</f>
        <v>0</v>
      </c>
      <c r="I21" s="5" t="str" cm="1">
        <f t="array" ref="I21">code128(B21)</f>
        <v>Ì01Î</v>
      </c>
    </row>
    <row r="22" spans="1:9" x14ac:dyDescent="0.3">
      <c r="A22" s="4">
        <f>[1]Sheet!A22</f>
        <v>0</v>
      </c>
      <c r="B22" s="9">
        <f>HLOOKUP(B$1,[1]Sheet!$B$1:$AI$1754,22,0)</f>
        <v>0</v>
      </c>
      <c r="C22" s="9">
        <f>HLOOKUP(C$1,[1]Sheet!$B$1:$AI$1754,22,0)</f>
        <v>0</v>
      </c>
      <c r="D22" s="8">
        <f>HLOOKUP(D$1,[1]Sheet!$B$1:$AI$1754,22,0)</f>
        <v>0</v>
      </c>
      <c r="E22" s="8">
        <f>HLOOKUP(E$1,[1]Sheet!$B$1:$AI$1754,22,0)</f>
        <v>0</v>
      </c>
      <c r="F22" s="10">
        <f>HLOOKUP(F$1,[1]Sheet!$B$1:$AI$1754,22,0)</f>
        <v>0</v>
      </c>
      <c r="G22" s="8">
        <f>HLOOKUP(G$1,[1]Sheet!$B$1:$AI$1754,22,0)</f>
        <v>0</v>
      </c>
      <c r="H22" s="13">
        <f>IF(HLOOKUP(H$1,[1]Sheet!$B$1:$AI$1754,22,0)&lt;&gt;"999",HLOOKUP(H$1,[1]Sheet!$B$1:$AI$1754,22,0),"ESTOQUE")</f>
        <v>0</v>
      </c>
      <c r="I22" s="5" t="str" cm="1">
        <f t="array" ref="I22">code128(B22)</f>
        <v>Ì01Î</v>
      </c>
    </row>
    <row r="23" spans="1:9" x14ac:dyDescent="0.3">
      <c r="A23" s="4">
        <f>[1]Sheet!A23</f>
        <v>0</v>
      </c>
      <c r="B23" s="9">
        <f>HLOOKUP(B$1,[1]Sheet!$B$1:$AI$1754,23,0)</f>
        <v>0</v>
      </c>
      <c r="C23" s="9">
        <f>HLOOKUP(C$1,[1]Sheet!$B$1:$AI$1754,23,0)</f>
        <v>0</v>
      </c>
      <c r="D23" s="8">
        <f>HLOOKUP(D$1,[1]Sheet!$B$1:$AI$1754,23,0)</f>
        <v>0</v>
      </c>
      <c r="E23" s="8">
        <f>HLOOKUP(E$1,[1]Sheet!$B$1:$AI$1754,23,0)</f>
        <v>0</v>
      </c>
      <c r="F23" s="10">
        <f>HLOOKUP(F$1,[1]Sheet!$B$1:$AI$1754,23,0)</f>
        <v>0</v>
      </c>
      <c r="G23" s="8">
        <f>HLOOKUP(G$1,[1]Sheet!$B$1:$AI$1754,23,0)</f>
        <v>0</v>
      </c>
      <c r="H23" s="13">
        <f>IF(HLOOKUP(H$1,[1]Sheet!$B$1:$AI$1754,23,0)&lt;&gt;"999",HLOOKUP(H$1,[1]Sheet!$B$1:$AI$1754,23,0),"ESTOQUE")</f>
        <v>0</v>
      </c>
      <c r="I23" s="5" t="str" cm="1">
        <f t="array" ref="I23">code128(B23)</f>
        <v>Ì01Î</v>
      </c>
    </row>
    <row r="24" spans="1:9" x14ac:dyDescent="0.3">
      <c r="A24" s="4">
        <f>[1]Sheet!A24</f>
        <v>0</v>
      </c>
      <c r="B24" s="9">
        <f>HLOOKUP(B$1,[1]Sheet!$B$1:$AI$1754,24,0)</f>
        <v>0</v>
      </c>
      <c r="C24" s="9">
        <f>HLOOKUP(C$1,[1]Sheet!$B$1:$AI$1754,24,0)</f>
        <v>0</v>
      </c>
      <c r="D24" s="8">
        <f>HLOOKUP(D$1,[1]Sheet!$B$1:$AI$1754,24,0)</f>
        <v>0</v>
      </c>
      <c r="E24" s="8">
        <f>HLOOKUP(E$1,[1]Sheet!$B$1:$AI$1754,24,0)</f>
        <v>0</v>
      </c>
      <c r="F24" s="10">
        <f>HLOOKUP(F$1,[1]Sheet!$B$1:$AI$1754,24,0)</f>
        <v>0</v>
      </c>
      <c r="G24" s="8">
        <f>HLOOKUP(G$1,[1]Sheet!$B$1:$AI$1754,24,0)</f>
        <v>0</v>
      </c>
      <c r="H24" s="13">
        <f>IF(HLOOKUP(H$1,[1]Sheet!$B$1:$AI$1754,24,0)&lt;&gt;"999",HLOOKUP(H$1,[1]Sheet!$B$1:$AI$1754,24,0),"ESTOQUE")</f>
        <v>0</v>
      </c>
      <c r="I24" s="5" t="str" cm="1">
        <f t="array" ref="I24">code128(B24)</f>
        <v>Ì01Î</v>
      </c>
    </row>
    <row r="25" spans="1:9" x14ac:dyDescent="0.3">
      <c r="A25" s="4">
        <f>[1]Sheet!A25</f>
        <v>0</v>
      </c>
      <c r="B25" s="9">
        <f>HLOOKUP(B$1,[1]Sheet!$B$1:$AI$1754,25,0)</f>
        <v>0</v>
      </c>
      <c r="C25" s="9">
        <f>HLOOKUP(C$1,[1]Sheet!$B$1:$AI$1754,25,0)</f>
        <v>0</v>
      </c>
      <c r="D25" s="8">
        <f>HLOOKUP(D$1,[1]Sheet!$B$1:$AI$1754,25,0)</f>
        <v>0</v>
      </c>
      <c r="E25" s="8">
        <f>HLOOKUP(E$1,[1]Sheet!$B$1:$AI$1754,25,0)</f>
        <v>0</v>
      </c>
      <c r="F25" s="10">
        <f>HLOOKUP(F$1,[1]Sheet!$B$1:$AI$1754,25,0)</f>
        <v>0</v>
      </c>
      <c r="G25" s="8">
        <f>HLOOKUP(G$1,[1]Sheet!$B$1:$AI$1754,25,0)</f>
        <v>0</v>
      </c>
      <c r="H25" s="13">
        <f>IF(HLOOKUP(H$1,[1]Sheet!$B$1:$AI$1754,25,0)&lt;&gt;"999",HLOOKUP(H$1,[1]Sheet!$B$1:$AI$1754,25,0),"ESTOQUE")</f>
        <v>0</v>
      </c>
      <c r="I25" s="5" t="str" cm="1">
        <f t="array" ref="I25">code128(B25)</f>
        <v>Ì01Î</v>
      </c>
    </row>
    <row r="26" spans="1:9" x14ac:dyDescent="0.3">
      <c r="A26" s="4">
        <f>[1]Sheet!A26</f>
        <v>0</v>
      </c>
      <c r="B26" s="9">
        <f>HLOOKUP(B$1,[1]Sheet!$B$1:$AI$1754,26,0)</f>
        <v>0</v>
      </c>
      <c r="C26" s="9">
        <f>HLOOKUP(C$1,[1]Sheet!$B$1:$AI$1754,26,0)</f>
        <v>0</v>
      </c>
      <c r="D26" s="8">
        <f>HLOOKUP(D$1,[1]Sheet!$B$1:$AI$1754,26,0)</f>
        <v>0</v>
      </c>
      <c r="E26" s="8">
        <f>HLOOKUP(E$1,[1]Sheet!$B$1:$AI$1754,26,0)</f>
        <v>0</v>
      </c>
      <c r="F26" s="10">
        <f>HLOOKUP(F$1,[1]Sheet!$B$1:$AI$1754,26,0)</f>
        <v>0</v>
      </c>
      <c r="G26" s="8">
        <f>HLOOKUP(G$1,[1]Sheet!$B$1:$AI$1754,26,0)</f>
        <v>0</v>
      </c>
      <c r="H26" s="13">
        <f>IF(HLOOKUP(H$1,[1]Sheet!$B$1:$AI$1754,26,0)&lt;&gt;"999",HLOOKUP(H$1,[1]Sheet!$B$1:$AI$1754,26,0),"ESTOQUE")</f>
        <v>0</v>
      </c>
      <c r="I26" s="5" t="str" cm="1">
        <f t="array" ref="I26">code128(B26)</f>
        <v>Ì01Î</v>
      </c>
    </row>
    <row r="27" spans="1:9" x14ac:dyDescent="0.3">
      <c r="A27" s="4">
        <f>[1]Sheet!A27</f>
        <v>0</v>
      </c>
      <c r="B27" s="9">
        <f>HLOOKUP(B$1,[1]Sheet!$B$1:$AI$1754,27,0)</f>
        <v>0</v>
      </c>
      <c r="C27" s="9">
        <f>HLOOKUP(C$1,[1]Sheet!$B$1:$AI$1754,27,0)</f>
        <v>0</v>
      </c>
      <c r="D27" s="8">
        <f>HLOOKUP(D$1,[1]Sheet!$B$1:$AI$1754,27,0)</f>
        <v>0</v>
      </c>
      <c r="E27" s="8">
        <f>HLOOKUP(E$1,[1]Sheet!$B$1:$AI$1754,27,0)</f>
        <v>0</v>
      </c>
      <c r="F27" s="10">
        <f>HLOOKUP(F$1,[1]Sheet!$B$1:$AI$1754,27,0)</f>
        <v>0</v>
      </c>
      <c r="G27" s="8">
        <f>HLOOKUP(G$1,[1]Sheet!$B$1:$AI$1754,27,0)</f>
        <v>0</v>
      </c>
      <c r="H27" s="13">
        <f>IF(HLOOKUP(H$1,[1]Sheet!$B$1:$AI$1754,27,0)&lt;&gt;"999",HLOOKUP(H$1,[1]Sheet!$B$1:$AI$1754,27,0),"ESTOQUE")</f>
        <v>0</v>
      </c>
      <c r="I27" s="5" t="str" cm="1">
        <f t="array" ref="I27">code128(B27)</f>
        <v>Ì01Î</v>
      </c>
    </row>
    <row r="28" spans="1:9" x14ac:dyDescent="0.3">
      <c r="A28" s="4">
        <f>[1]Sheet!A28</f>
        <v>0</v>
      </c>
      <c r="B28" s="9">
        <f>HLOOKUP(B$1,[1]Sheet!$B$1:$AI$1754,28,0)</f>
        <v>0</v>
      </c>
      <c r="C28" s="9">
        <f>HLOOKUP(C$1,[1]Sheet!$B$1:$AI$1754,28,0)</f>
        <v>0</v>
      </c>
      <c r="D28" s="8">
        <f>HLOOKUP(D$1,[1]Sheet!$B$1:$AI$1754,28,0)</f>
        <v>0</v>
      </c>
      <c r="E28" s="8">
        <f>HLOOKUP(E$1,[1]Sheet!$B$1:$AI$1754,28,0)</f>
        <v>0</v>
      </c>
      <c r="F28" s="10">
        <f>HLOOKUP(F$1,[1]Sheet!$B$1:$AI$1754,28,0)</f>
        <v>0</v>
      </c>
      <c r="G28" s="8">
        <f>HLOOKUP(G$1,[1]Sheet!$B$1:$AI$1754,28,0)</f>
        <v>0</v>
      </c>
      <c r="H28" s="13">
        <f>IF(HLOOKUP(H$1,[1]Sheet!$B$1:$AI$1754,28,0)&lt;&gt;"999",HLOOKUP(H$1,[1]Sheet!$B$1:$AI$1754,28,0),"ESTOQUE")</f>
        <v>0</v>
      </c>
      <c r="I28" s="5" t="str" cm="1">
        <f t="array" ref="I28">code128(B28)</f>
        <v>Ì01Î</v>
      </c>
    </row>
    <row r="29" spans="1:9" x14ac:dyDescent="0.3">
      <c r="A29" s="4">
        <f>[1]Sheet!A29</f>
        <v>0</v>
      </c>
      <c r="B29" s="9">
        <f>HLOOKUP(B$1,[1]Sheet!$B$1:$AI$1754,29,0)</f>
        <v>0</v>
      </c>
      <c r="C29" s="9">
        <f>HLOOKUP(C$1,[1]Sheet!$B$1:$AI$1754,29,0)</f>
        <v>0</v>
      </c>
      <c r="D29" s="8">
        <f>HLOOKUP(D$1,[1]Sheet!$B$1:$AI$1754,29,0)</f>
        <v>0</v>
      </c>
      <c r="E29" s="8">
        <f>HLOOKUP(E$1,[1]Sheet!$B$1:$AI$1754,29,0)</f>
        <v>0</v>
      </c>
      <c r="F29" s="10">
        <f>HLOOKUP(F$1,[1]Sheet!$B$1:$AI$1754,29,0)</f>
        <v>0</v>
      </c>
      <c r="G29" s="8">
        <f>HLOOKUP(G$1,[1]Sheet!$B$1:$AI$1754,29,0)</f>
        <v>0</v>
      </c>
      <c r="H29" s="13">
        <f>IF(HLOOKUP(H$1,[1]Sheet!$B$1:$AI$1754,29,0)&lt;&gt;"999",HLOOKUP(H$1,[1]Sheet!$B$1:$AI$1754,29,0),"ESTOQUE")</f>
        <v>0</v>
      </c>
      <c r="I29" s="5" t="str" cm="1">
        <f t="array" ref="I29">code128(B29)</f>
        <v>Ì01Î</v>
      </c>
    </row>
    <row r="30" spans="1:9" x14ac:dyDescent="0.3">
      <c r="A30" s="4">
        <f>[1]Sheet!A30</f>
        <v>0</v>
      </c>
      <c r="B30" s="9">
        <f>HLOOKUP(B$1,[1]Sheet!$B$1:$AI$1754,30,0)</f>
        <v>0</v>
      </c>
      <c r="C30" s="9">
        <f>HLOOKUP(C$1,[1]Sheet!$B$1:$AI$1754,30,0)</f>
        <v>0</v>
      </c>
      <c r="D30" s="8">
        <f>HLOOKUP(D$1,[1]Sheet!$B$1:$AI$1754,30,0)</f>
        <v>0</v>
      </c>
      <c r="E30" s="8">
        <f>HLOOKUP(E$1,[1]Sheet!$B$1:$AI$1754,30,0)</f>
        <v>0</v>
      </c>
      <c r="F30" s="10">
        <f>HLOOKUP(F$1,[1]Sheet!$B$1:$AI$1754,30,0)</f>
        <v>0</v>
      </c>
      <c r="G30" s="8">
        <f>HLOOKUP(G$1,[1]Sheet!$B$1:$AI$1754,30,0)</f>
        <v>0</v>
      </c>
      <c r="H30" s="13">
        <f>IF(HLOOKUP(H$1,[1]Sheet!$B$1:$AI$1754,30,0)&lt;&gt;"999",HLOOKUP(H$1,[1]Sheet!$B$1:$AI$1754,30,0),"ESTOQUE")</f>
        <v>0</v>
      </c>
      <c r="I30" s="5" t="str" cm="1">
        <f t="array" ref="I30">code128(B30)</f>
        <v>Ì01Î</v>
      </c>
    </row>
    <row r="31" spans="1:9" x14ac:dyDescent="0.3">
      <c r="A31" s="4">
        <f>[1]Sheet!A31</f>
        <v>0</v>
      </c>
      <c r="B31" s="9">
        <f>HLOOKUP(B$1,[1]Sheet!$B$1:$AI$1754,31,0)</f>
        <v>0</v>
      </c>
      <c r="C31" s="9">
        <f>HLOOKUP(C$1,[1]Sheet!$B$1:$AI$1754,31,0)</f>
        <v>0</v>
      </c>
      <c r="D31" s="8">
        <f>HLOOKUP(D$1,[1]Sheet!$B$1:$AI$1754,31,0)</f>
        <v>0</v>
      </c>
      <c r="E31" s="8">
        <f>HLOOKUP(E$1,[1]Sheet!$B$1:$AI$1754,31,0)</f>
        <v>0</v>
      </c>
      <c r="F31" s="10">
        <f>HLOOKUP(F$1,[1]Sheet!$B$1:$AI$1754,31,0)</f>
        <v>0</v>
      </c>
      <c r="G31" s="8">
        <f>HLOOKUP(G$1,[1]Sheet!$B$1:$AI$1754,31,0)</f>
        <v>0</v>
      </c>
      <c r="H31" s="13">
        <f>IF(HLOOKUP(H$1,[1]Sheet!$B$1:$AI$1754,31,0)&lt;&gt;"999",HLOOKUP(H$1,[1]Sheet!$B$1:$AI$1754,31,0),"ESTOQUE")</f>
        <v>0</v>
      </c>
      <c r="I31" s="5" t="str" cm="1">
        <f t="array" ref="I31">code128(B31)</f>
        <v>Ì01Î</v>
      </c>
    </row>
    <row r="32" spans="1:9" x14ac:dyDescent="0.3">
      <c r="A32" s="4">
        <f>[1]Sheet!A32</f>
        <v>0</v>
      </c>
      <c r="B32" s="9">
        <f>HLOOKUP(B$1,[1]Sheet!$B$1:$AI$1754,32,0)</f>
        <v>0</v>
      </c>
      <c r="C32" s="9">
        <f>HLOOKUP(C$1,[1]Sheet!$B$1:$AI$1754,32,0)</f>
        <v>0</v>
      </c>
      <c r="D32" s="8">
        <f>HLOOKUP(D$1,[1]Sheet!$B$1:$AI$1754,32,0)</f>
        <v>0</v>
      </c>
      <c r="E32" s="8">
        <f>HLOOKUP(E$1,[1]Sheet!$B$1:$AI$1754,32,0)</f>
        <v>0</v>
      </c>
      <c r="F32" s="10">
        <f>HLOOKUP(F$1,[1]Sheet!$B$1:$AI$1754,32,0)</f>
        <v>0</v>
      </c>
      <c r="G32" s="8">
        <f>HLOOKUP(G$1,[1]Sheet!$B$1:$AI$1754,32,0)</f>
        <v>0</v>
      </c>
      <c r="H32" s="13">
        <f>IF(HLOOKUP(H$1,[1]Sheet!$B$1:$AI$1754,32,0)&lt;&gt;"999",HLOOKUP(H$1,[1]Sheet!$B$1:$AI$1754,32,0),"ESTOQUE")</f>
        <v>0</v>
      </c>
      <c r="I32" s="5" t="str" cm="1">
        <f t="array" ref="I32">code128(B32)</f>
        <v>Ì01Î</v>
      </c>
    </row>
    <row r="33" spans="1:9" x14ac:dyDescent="0.3">
      <c r="A33" s="4">
        <f>[1]Sheet!A33</f>
        <v>0</v>
      </c>
      <c r="B33" s="9">
        <f>HLOOKUP(B$1,[1]Sheet!$B$1:$AI$1754,33,0)</f>
        <v>0</v>
      </c>
      <c r="C33" s="9">
        <f>HLOOKUP(C$1,[1]Sheet!$B$1:$AI$1754,33,0)</f>
        <v>0</v>
      </c>
      <c r="D33" s="8">
        <f>HLOOKUP(D$1,[1]Sheet!$B$1:$AI$1754,33,0)</f>
        <v>0</v>
      </c>
      <c r="E33" s="8">
        <f>HLOOKUP(E$1,[1]Sheet!$B$1:$AI$1754,33,0)</f>
        <v>0</v>
      </c>
      <c r="F33" s="10">
        <f>HLOOKUP(F$1,[1]Sheet!$B$1:$AI$1754,33,0)</f>
        <v>0</v>
      </c>
      <c r="G33" s="8">
        <f>HLOOKUP(G$1,[1]Sheet!$B$1:$AI$1754,33,0)</f>
        <v>0</v>
      </c>
      <c r="H33" s="13">
        <f>IF(HLOOKUP(H$1,[1]Sheet!$B$1:$AI$1754,33,0)&lt;&gt;"999",HLOOKUP(H$1,[1]Sheet!$B$1:$AI$1754,33,0),"ESTOQUE")</f>
        <v>0</v>
      </c>
      <c r="I33" s="5" t="str" cm="1">
        <f t="array" ref="I33">code128(B33)</f>
        <v>Ì01Î</v>
      </c>
    </row>
    <row r="34" spans="1:9" x14ac:dyDescent="0.3">
      <c r="A34" s="4">
        <f>[1]Sheet!A34</f>
        <v>0</v>
      </c>
      <c r="B34" s="9">
        <f>HLOOKUP(B$1,[1]Sheet!$B$1:$AI$1754,34,0)</f>
        <v>0</v>
      </c>
      <c r="C34" s="9">
        <f>HLOOKUP(C$1,[1]Sheet!$B$1:$AI$1754,34,0)</f>
        <v>0</v>
      </c>
      <c r="D34" s="8">
        <f>HLOOKUP(D$1,[1]Sheet!$B$1:$AI$1754,34,0)</f>
        <v>0</v>
      </c>
      <c r="E34" s="8">
        <f>HLOOKUP(E$1,[1]Sheet!$B$1:$AI$1754,34,0)</f>
        <v>0</v>
      </c>
      <c r="F34" s="10">
        <f>HLOOKUP(F$1,[1]Sheet!$B$1:$AI$1754,34,0)</f>
        <v>0</v>
      </c>
      <c r="G34" s="8">
        <f>HLOOKUP(G$1,[1]Sheet!$B$1:$AI$1754,34,0)</f>
        <v>0</v>
      </c>
      <c r="H34" s="13">
        <f>IF(HLOOKUP(H$1,[1]Sheet!$B$1:$AI$1754,34,0)&lt;&gt;"999",HLOOKUP(H$1,[1]Sheet!$B$1:$AI$1754,34,0),"ESTOQUE")</f>
        <v>0</v>
      </c>
      <c r="I34" s="5" t="str" cm="1">
        <f t="array" ref="I34">code128(B34)</f>
        <v>Ì01Î</v>
      </c>
    </row>
    <row r="35" spans="1:9" x14ac:dyDescent="0.3">
      <c r="A35" s="4">
        <f>[1]Sheet!A35</f>
        <v>0</v>
      </c>
      <c r="B35" s="9">
        <f>HLOOKUP(B$1,[1]Sheet!$B$1:$AI$1754,35,0)</f>
        <v>0</v>
      </c>
      <c r="C35" s="9">
        <f>HLOOKUP(C$1,[1]Sheet!$B$1:$AI$1754,35,0)</f>
        <v>0</v>
      </c>
      <c r="D35" s="8">
        <f>HLOOKUP(D$1,[1]Sheet!$B$1:$AI$1754,35,0)</f>
        <v>0</v>
      </c>
      <c r="E35" s="8">
        <f>HLOOKUP(E$1,[1]Sheet!$B$1:$AI$1754,35,0)</f>
        <v>0</v>
      </c>
      <c r="F35" s="10">
        <f>HLOOKUP(F$1,[1]Sheet!$B$1:$AI$1754,35,0)</f>
        <v>0</v>
      </c>
      <c r="G35" s="8">
        <f>HLOOKUP(G$1,[1]Sheet!$B$1:$AI$1754,35,0)</f>
        <v>0</v>
      </c>
      <c r="H35" s="13">
        <f>IF(HLOOKUP(H$1,[1]Sheet!$B$1:$AI$1754,35,0)&lt;&gt;"999",HLOOKUP(H$1,[1]Sheet!$B$1:$AI$1754,35,0),"ESTOQUE")</f>
        <v>0</v>
      </c>
      <c r="I35" s="5" t="str" cm="1">
        <f t="array" ref="I35">code128(B35)</f>
        <v>Ì01Î</v>
      </c>
    </row>
    <row r="36" spans="1:9" x14ac:dyDescent="0.3">
      <c r="A36" s="4">
        <f>[1]Sheet!A36</f>
        <v>0</v>
      </c>
      <c r="B36" s="9">
        <f>HLOOKUP(B$1,[1]Sheet!$B$1:$AI$1754,36,0)</f>
        <v>0</v>
      </c>
      <c r="C36" s="9">
        <f>HLOOKUP(C$1,[1]Sheet!$B$1:$AI$1754,36,0)</f>
        <v>0</v>
      </c>
      <c r="D36" s="8">
        <f>HLOOKUP(D$1,[1]Sheet!$B$1:$AI$1754,36,0)</f>
        <v>0</v>
      </c>
      <c r="E36" s="8">
        <f>HLOOKUP(E$1,[1]Sheet!$B$1:$AI$1754,36,0)</f>
        <v>0</v>
      </c>
      <c r="F36" s="10">
        <f>HLOOKUP(F$1,[1]Sheet!$B$1:$AI$1754,36,0)</f>
        <v>0</v>
      </c>
      <c r="G36" s="8">
        <f>HLOOKUP(G$1,[1]Sheet!$B$1:$AI$1754,36,0)</f>
        <v>0</v>
      </c>
      <c r="H36" s="13">
        <f>IF(HLOOKUP(H$1,[1]Sheet!$B$1:$AI$1754,36,0)&lt;&gt;"999",HLOOKUP(H$1,[1]Sheet!$B$1:$AI$1754,36,0),"ESTOQUE")</f>
        <v>0</v>
      </c>
      <c r="I36" s="5" t="str" cm="1">
        <f t="array" ref="I36">code128(B36)</f>
        <v>Ì01Î</v>
      </c>
    </row>
    <row r="37" spans="1:9" x14ac:dyDescent="0.3">
      <c r="A37" s="4">
        <f>[1]Sheet!A37</f>
        <v>0</v>
      </c>
      <c r="B37" s="9">
        <f>HLOOKUP(B$1,[1]Sheet!$B$1:$AI$1754,37,0)</f>
        <v>0</v>
      </c>
      <c r="C37" s="9">
        <f>HLOOKUP(C$1,[1]Sheet!$B$1:$AI$1754,37,0)</f>
        <v>0</v>
      </c>
      <c r="D37" s="8">
        <f>HLOOKUP(D$1,[1]Sheet!$B$1:$AI$1754,37,0)</f>
        <v>0</v>
      </c>
      <c r="E37" s="8">
        <f>HLOOKUP(E$1,[1]Sheet!$B$1:$AI$1754,37,0)</f>
        <v>0</v>
      </c>
      <c r="F37" s="10">
        <f>HLOOKUP(F$1,[1]Sheet!$B$1:$AI$1754,37,0)</f>
        <v>0</v>
      </c>
      <c r="G37" s="8">
        <f>HLOOKUP(G$1,[1]Sheet!$B$1:$AI$1754,37,0)</f>
        <v>0</v>
      </c>
      <c r="H37" s="13">
        <f>IF(HLOOKUP(H$1,[1]Sheet!$B$1:$AI$1754,37,0)&lt;&gt;"999",HLOOKUP(H$1,[1]Sheet!$B$1:$AI$1754,37,0),"ESTOQUE")</f>
        <v>0</v>
      </c>
      <c r="I37" s="5" t="str" cm="1">
        <f t="array" ref="I37">code128(B37)</f>
        <v>Ì01Î</v>
      </c>
    </row>
    <row r="38" spans="1:9" x14ac:dyDescent="0.3">
      <c r="A38" s="4">
        <f>[1]Sheet!A38</f>
        <v>0</v>
      </c>
      <c r="B38" s="9">
        <f>HLOOKUP(B$1,[1]Sheet!$B$1:$AI$1754,38,0)</f>
        <v>0</v>
      </c>
      <c r="C38" s="9">
        <f>HLOOKUP(C$1,[1]Sheet!$B$1:$AI$1754,38,0)</f>
        <v>0</v>
      </c>
      <c r="D38" s="8">
        <f>HLOOKUP(D$1,[1]Sheet!$B$1:$AI$1754,38,0)</f>
        <v>0</v>
      </c>
      <c r="E38" s="8">
        <f>HLOOKUP(E$1,[1]Sheet!$B$1:$AI$1754,38,0)</f>
        <v>0</v>
      </c>
      <c r="F38" s="10">
        <f>HLOOKUP(F$1,[1]Sheet!$B$1:$AI$1754,38,0)</f>
        <v>0</v>
      </c>
      <c r="G38" s="8">
        <f>HLOOKUP(G$1,[1]Sheet!$B$1:$AI$1754,38,0)</f>
        <v>0</v>
      </c>
      <c r="H38" s="13">
        <f>IF(HLOOKUP(H$1,[1]Sheet!$B$1:$AI$1754,38,0)&lt;&gt;"999",HLOOKUP(H$1,[1]Sheet!$B$1:$AI$1754,38,0),"ESTOQUE")</f>
        <v>0</v>
      </c>
      <c r="I38" s="5" t="str" cm="1">
        <f t="array" ref="I38">code128(B38)</f>
        <v>Ì01Î</v>
      </c>
    </row>
    <row r="39" spans="1:9" x14ac:dyDescent="0.3">
      <c r="A39" s="4">
        <f>[1]Sheet!A39</f>
        <v>0</v>
      </c>
      <c r="B39" s="9">
        <f>HLOOKUP(B$1,[1]Sheet!$B$1:$AI$1754,39,0)</f>
        <v>0</v>
      </c>
      <c r="C39" s="9">
        <f>HLOOKUP(C$1,[1]Sheet!$B$1:$AI$1754,39,0)</f>
        <v>0</v>
      </c>
      <c r="D39" s="8">
        <f>HLOOKUP(D$1,[1]Sheet!$B$1:$AI$1754,39,0)</f>
        <v>0</v>
      </c>
      <c r="E39" s="8">
        <f>HLOOKUP(E$1,[1]Sheet!$B$1:$AI$1754,39,0)</f>
        <v>0</v>
      </c>
      <c r="F39" s="10">
        <f>HLOOKUP(F$1,[1]Sheet!$B$1:$AI$1754,39,0)</f>
        <v>0</v>
      </c>
      <c r="G39" s="8">
        <f>HLOOKUP(G$1,[1]Sheet!$B$1:$AI$1754,39,0)</f>
        <v>0</v>
      </c>
      <c r="H39" s="13">
        <f>IF(HLOOKUP(H$1,[1]Sheet!$B$1:$AI$1754,39,0)&lt;&gt;"999",HLOOKUP(H$1,[1]Sheet!$B$1:$AI$1754,39,0),"ESTOQUE")</f>
        <v>0</v>
      </c>
      <c r="I39" s="5" t="str" cm="1">
        <f t="array" ref="I39">code128(B39)</f>
        <v>Ì01Î</v>
      </c>
    </row>
    <row r="40" spans="1:9" x14ac:dyDescent="0.3">
      <c r="A40" s="4">
        <f>[1]Sheet!A40</f>
        <v>0</v>
      </c>
      <c r="B40" s="9">
        <f>HLOOKUP(B$1,[1]Sheet!$B$1:$AI$1754,40,0)</f>
        <v>0</v>
      </c>
      <c r="C40" s="9">
        <f>HLOOKUP(C$1,[1]Sheet!$B$1:$AI$1754,40,0)</f>
        <v>0</v>
      </c>
      <c r="D40" s="8">
        <f>HLOOKUP(D$1,[1]Sheet!$B$1:$AI$1754,40,0)</f>
        <v>0</v>
      </c>
      <c r="E40" s="8">
        <f>HLOOKUP(E$1,[1]Sheet!$B$1:$AI$1754,40,0)</f>
        <v>0</v>
      </c>
      <c r="F40" s="10">
        <f>HLOOKUP(F$1,[1]Sheet!$B$1:$AI$1754,40,0)</f>
        <v>0</v>
      </c>
      <c r="G40" s="8">
        <f>HLOOKUP(G$1,[1]Sheet!$B$1:$AI$1754,40,0)</f>
        <v>0</v>
      </c>
      <c r="H40" s="13">
        <f>IF(HLOOKUP(H$1,[1]Sheet!$B$1:$AI$1754,40,0)&lt;&gt;"999",HLOOKUP(H$1,[1]Sheet!$B$1:$AI$1754,40,0),"ESTOQUE")</f>
        <v>0</v>
      </c>
      <c r="I40" s="5" t="str" cm="1">
        <f t="array" ref="I40">code128(B40)</f>
        <v>Ì01Î</v>
      </c>
    </row>
    <row r="41" spans="1:9" x14ac:dyDescent="0.3">
      <c r="A41" s="4">
        <f>[1]Sheet!A41</f>
        <v>0</v>
      </c>
      <c r="B41" s="9">
        <f>HLOOKUP(B$1,[1]Sheet!$B$1:$AI$1754,41,0)</f>
        <v>0</v>
      </c>
      <c r="C41" s="9">
        <f>HLOOKUP(C$1,[1]Sheet!$B$1:$AI$1754,41,0)</f>
        <v>0</v>
      </c>
      <c r="D41" s="8">
        <f>HLOOKUP(D$1,[1]Sheet!$B$1:$AI$1754,41,0)</f>
        <v>0</v>
      </c>
      <c r="E41" s="8">
        <f>HLOOKUP(E$1,[1]Sheet!$B$1:$AI$1754,41,0)</f>
        <v>0</v>
      </c>
      <c r="F41" s="10">
        <f>HLOOKUP(F$1,[1]Sheet!$B$1:$AI$1754,41,0)</f>
        <v>0</v>
      </c>
      <c r="G41" s="8">
        <f>HLOOKUP(G$1,[1]Sheet!$B$1:$AI$1754,41,0)</f>
        <v>0</v>
      </c>
      <c r="H41" s="13">
        <f>IF(HLOOKUP(H$1,[1]Sheet!$B$1:$AI$1754,41,0)&lt;&gt;"999",HLOOKUP(H$1,[1]Sheet!$B$1:$AI$1754,41,0),"ESTOQUE")</f>
        <v>0</v>
      </c>
      <c r="I41" s="5" t="str" cm="1">
        <f t="array" ref="I41">code128(B41)</f>
        <v>Ì01Î</v>
      </c>
    </row>
    <row r="42" spans="1:9" x14ac:dyDescent="0.3">
      <c r="A42" s="4">
        <f>[1]Sheet!A42</f>
        <v>0</v>
      </c>
      <c r="B42" s="9">
        <f>HLOOKUP(B$1,[1]Sheet!$B$1:$AI$1754,42,0)</f>
        <v>0</v>
      </c>
      <c r="C42" s="9">
        <f>HLOOKUP(C$1,[1]Sheet!$B$1:$AI$1754,42,0)</f>
        <v>0</v>
      </c>
      <c r="D42" s="8">
        <f>HLOOKUP(D$1,[1]Sheet!$B$1:$AI$1754,42,0)</f>
        <v>0</v>
      </c>
      <c r="E42" s="8">
        <f>HLOOKUP(E$1,[1]Sheet!$B$1:$AI$1754,42,0)</f>
        <v>0</v>
      </c>
      <c r="F42" s="10">
        <f>HLOOKUP(F$1,[1]Sheet!$B$1:$AI$1754,42,0)</f>
        <v>0</v>
      </c>
      <c r="G42" s="8">
        <f>HLOOKUP(G$1,[1]Sheet!$B$1:$AI$1754,42,0)</f>
        <v>0</v>
      </c>
      <c r="H42" s="13">
        <f>IF(HLOOKUP(H$1,[1]Sheet!$B$1:$AI$1754,42,0)&lt;&gt;"999",HLOOKUP(H$1,[1]Sheet!$B$1:$AI$1754,42,0),"ESTOQUE")</f>
        <v>0</v>
      </c>
      <c r="I42" s="5" t="str" cm="1">
        <f t="array" ref="I42">code128(B42)</f>
        <v>Ì01Î</v>
      </c>
    </row>
    <row r="43" spans="1:9" x14ac:dyDescent="0.3">
      <c r="A43" s="4">
        <f>[1]Sheet!A43</f>
        <v>0</v>
      </c>
      <c r="B43" s="9">
        <f>HLOOKUP(B$1,[1]Sheet!$B$1:$AI$1754,43,0)</f>
        <v>0</v>
      </c>
      <c r="C43" s="9">
        <f>HLOOKUP(C$1,[1]Sheet!$B$1:$AI$1754,43,0)</f>
        <v>0</v>
      </c>
      <c r="D43" s="8">
        <f>HLOOKUP(D$1,[1]Sheet!$B$1:$AI$1754,43,0)</f>
        <v>0</v>
      </c>
      <c r="E43" s="8">
        <f>HLOOKUP(E$1,[1]Sheet!$B$1:$AI$1754,43,0)</f>
        <v>0</v>
      </c>
      <c r="F43" s="10">
        <f>HLOOKUP(F$1,[1]Sheet!$B$1:$AI$1754,43,0)</f>
        <v>0</v>
      </c>
      <c r="G43" s="8">
        <f>HLOOKUP(G$1,[1]Sheet!$B$1:$AI$1754,43,0)</f>
        <v>0</v>
      </c>
      <c r="H43" s="13">
        <f>IF(HLOOKUP(H$1,[1]Sheet!$B$1:$AI$1754,43,0)&lt;&gt;"999",HLOOKUP(H$1,[1]Sheet!$B$1:$AI$1754,43,0),"ESTOQUE")</f>
        <v>0</v>
      </c>
      <c r="I43" s="5" t="str" cm="1">
        <f t="array" ref="I43">code128(B43)</f>
        <v>Ì01Î</v>
      </c>
    </row>
    <row r="44" spans="1:9" x14ac:dyDescent="0.3">
      <c r="A44" s="4">
        <f>[1]Sheet!A44</f>
        <v>0</v>
      </c>
      <c r="B44" s="9">
        <f>HLOOKUP(B$1,[1]Sheet!$B$1:$AI$1754,44,0)</f>
        <v>0</v>
      </c>
      <c r="C44" s="9">
        <f>HLOOKUP(C$1,[1]Sheet!$B$1:$AI$1754,44,0)</f>
        <v>0</v>
      </c>
      <c r="D44" s="8">
        <f>HLOOKUP(D$1,[1]Sheet!$B$1:$AI$1754,44,0)</f>
        <v>0</v>
      </c>
      <c r="E44" s="8">
        <f>HLOOKUP(E$1,[1]Sheet!$B$1:$AI$1754,44,0)</f>
        <v>0</v>
      </c>
      <c r="F44" s="10">
        <f>HLOOKUP(F$1,[1]Sheet!$B$1:$AI$1754,44,0)</f>
        <v>0</v>
      </c>
      <c r="G44" s="8">
        <f>HLOOKUP(G$1,[1]Sheet!$B$1:$AI$1754,44,0)</f>
        <v>0</v>
      </c>
      <c r="H44" s="13">
        <f>IF(HLOOKUP(H$1,[1]Sheet!$B$1:$AI$1754,44,0)&lt;&gt;"999",HLOOKUP(H$1,[1]Sheet!$B$1:$AI$1754,44,0),"ESTOQUE")</f>
        <v>0</v>
      </c>
      <c r="I44" s="5" t="str" cm="1">
        <f t="array" ref="I44">code128(B44)</f>
        <v>Ì01Î</v>
      </c>
    </row>
    <row r="45" spans="1:9" x14ac:dyDescent="0.3">
      <c r="A45" s="4">
        <f>[1]Sheet!A45</f>
        <v>0</v>
      </c>
      <c r="B45" s="9">
        <f>HLOOKUP(B$1,[1]Sheet!$B$1:$AI$1754,45,0)</f>
        <v>0</v>
      </c>
      <c r="C45" s="9">
        <f>HLOOKUP(C$1,[1]Sheet!$B$1:$AI$1754,45,0)</f>
        <v>0</v>
      </c>
      <c r="D45" s="8">
        <f>HLOOKUP(D$1,[1]Sheet!$B$1:$AI$1754,45,0)</f>
        <v>0</v>
      </c>
      <c r="E45" s="8">
        <f>HLOOKUP(E$1,[1]Sheet!$B$1:$AI$1754,45,0)</f>
        <v>0</v>
      </c>
      <c r="F45" s="10">
        <f>HLOOKUP(F$1,[1]Sheet!$B$1:$AI$1754,45,0)</f>
        <v>0</v>
      </c>
      <c r="G45" s="8">
        <f>HLOOKUP(G$1,[1]Sheet!$B$1:$AI$1754,45,0)</f>
        <v>0</v>
      </c>
      <c r="H45" s="13">
        <f>IF(HLOOKUP(H$1,[1]Sheet!$B$1:$AI$1754,45,0)&lt;&gt;"999",HLOOKUP(H$1,[1]Sheet!$B$1:$AI$1754,45,0),"ESTOQUE")</f>
        <v>0</v>
      </c>
      <c r="I45" s="5" t="str" cm="1">
        <f t="array" ref="I45">code128(B45)</f>
        <v>Ì01Î</v>
      </c>
    </row>
    <row r="46" spans="1:9" x14ac:dyDescent="0.3">
      <c r="A46" s="4">
        <f>[1]Sheet!A46</f>
        <v>0</v>
      </c>
      <c r="B46" s="9">
        <f>HLOOKUP(B$1,[1]Sheet!$B$1:$AI$1754,46,0)</f>
        <v>0</v>
      </c>
      <c r="C46" s="9">
        <f>HLOOKUP(C$1,[1]Sheet!$B$1:$AI$1754,46,0)</f>
        <v>0</v>
      </c>
      <c r="D46" s="8">
        <f>HLOOKUP(D$1,[1]Sheet!$B$1:$AI$1754,46,0)</f>
        <v>0</v>
      </c>
      <c r="E46" s="8">
        <f>HLOOKUP(E$1,[1]Sheet!$B$1:$AI$1754,46,0)</f>
        <v>0</v>
      </c>
      <c r="F46" s="10">
        <f>HLOOKUP(F$1,[1]Sheet!$B$1:$AI$1754,46,0)</f>
        <v>0</v>
      </c>
      <c r="G46" s="8">
        <f>HLOOKUP(G$1,[1]Sheet!$B$1:$AI$1754,46,0)</f>
        <v>0</v>
      </c>
      <c r="H46" s="13">
        <f>IF(HLOOKUP(H$1,[1]Sheet!$B$1:$AI$1754,46,0)&lt;&gt;"999",HLOOKUP(H$1,[1]Sheet!$B$1:$AI$1754,46,0),"ESTOQUE")</f>
        <v>0</v>
      </c>
      <c r="I46" s="5" t="str" cm="1">
        <f t="array" ref="I46">code128(B46)</f>
        <v>Ì01Î</v>
      </c>
    </row>
    <row r="47" spans="1:9" x14ac:dyDescent="0.3">
      <c r="A47" s="4">
        <f>[1]Sheet!A47</f>
        <v>0</v>
      </c>
      <c r="B47" s="9">
        <f>HLOOKUP(B$1,[1]Sheet!$B$1:$AI$1754,47,0)</f>
        <v>0</v>
      </c>
      <c r="C47" s="9">
        <f>HLOOKUP(C$1,[1]Sheet!$B$1:$AI$1754,47,0)</f>
        <v>0</v>
      </c>
      <c r="D47" s="8">
        <f>HLOOKUP(D$1,[1]Sheet!$B$1:$AI$1754,47,0)</f>
        <v>0</v>
      </c>
      <c r="E47" s="8">
        <f>HLOOKUP(E$1,[1]Sheet!$B$1:$AI$1754,47,0)</f>
        <v>0</v>
      </c>
      <c r="F47" s="10">
        <f>HLOOKUP(F$1,[1]Sheet!$B$1:$AI$1754,47,0)</f>
        <v>0</v>
      </c>
      <c r="G47" s="8">
        <f>HLOOKUP(G$1,[1]Sheet!$B$1:$AI$1754,47,0)</f>
        <v>0</v>
      </c>
      <c r="H47" s="13">
        <f>IF(HLOOKUP(H$1,[1]Sheet!$B$1:$AI$1754,47,0)&lt;&gt;"999",HLOOKUP(H$1,[1]Sheet!$B$1:$AI$1754,47,0),"ESTOQUE")</f>
        <v>0</v>
      </c>
      <c r="I47" s="5" t="str" cm="1">
        <f t="array" ref="I47">code128(B47)</f>
        <v>Ì01Î</v>
      </c>
    </row>
    <row r="48" spans="1:9" x14ac:dyDescent="0.3">
      <c r="A48" s="4">
        <f>[1]Sheet!A48</f>
        <v>0</v>
      </c>
      <c r="B48" s="9">
        <f>HLOOKUP(B$1,[1]Sheet!$B$1:$AI$1754,48,0)</f>
        <v>0</v>
      </c>
      <c r="C48" s="9">
        <f>HLOOKUP(C$1,[1]Sheet!$B$1:$AI$1754,48,0)</f>
        <v>0</v>
      </c>
      <c r="D48" s="8">
        <f>HLOOKUP(D$1,[1]Sheet!$B$1:$AI$1754,48,0)</f>
        <v>0</v>
      </c>
      <c r="E48" s="8">
        <f>HLOOKUP(E$1,[1]Sheet!$B$1:$AI$1754,48,0)</f>
        <v>0</v>
      </c>
      <c r="F48" s="10">
        <f>HLOOKUP(F$1,[1]Sheet!$B$1:$AI$1754,48,0)</f>
        <v>0</v>
      </c>
      <c r="G48" s="8">
        <f>HLOOKUP(G$1,[1]Sheet!$B$1:$AI$1754,48,0)</f>
        <v>0</v>
      </c>
      <c r="H48" s="13">
        <f>IF(HLOOKUP(H$1,[1]Sheet!$B$1:$AI$1754,48,0)&lt;&gt;"999",HLOOKUP(H$1,[1]Sheet!$B$1:$AI$1754,48,0),"ESTOQUE")</f>
        <v>0</v>
      </c>
      <c r="I48" s="5" t="str" cm="1">
        <f t="array" ref="I48">code128(B48)</f>
        <v>Ì01Î</v>
      </c>
    </row>
    <row r="49" spans="1:9" x14ac:dyDescent="0.3">
      <c r="A49" s="4">
        <f>[1]Sheet!A49</f>
        <v>0</v>
      </c>
      <c r="B49" s="9">
        <f>HLOOKUP(B$1,[1]Sheet!$B$1:$AI$1754,49,0)</f>
        <v>0</v>
      </c>
      <c r="C49" s="9">
        <f>HLOOKUP(C$1,[1]Sheet!$B$1:$AI$1754,49,0)</f>
        <v>0</v>
      </c>
      <c r="D49" s="8">
        <f>HLOOKUP(D$1,[1]Sheet!$B$1:$AI$1754,49,0)</f>
        <v>0</v>
      </c>
      <c r="E49" s="8">
        <f>HLOOKUP(E$1,[1]Sheet!$B$1:$AI$1754,49,0)</f>
        <v>0</v>
      </c>
      <c r="F49" s="10">
        <f>HLOOKUP(F$1,[1]Sheet!$B$1:$AI$1754,49,0)</f>
        <v>0</v>
      </c>
      <c r="G49" s="8">
        <f>HLOOKUP(G$1,[1]Sheet!$B$1:$AI$1754,49,0)</f>
        <v>0</v>
      </c>
      <c r="H49" s="13">
        <f>IF(HLOOKUP(H$1,[1]Sheet!$B$1:$AI$1754,49,0)&lt;&gt;"999",HLOOKUP(H$1,[1]Sheet!$B$1:$AI$1754,49,0),"ESTOQUE")</f>
        <v>0</v>
      </c>
      <c r="I49" s="5" t="str" cm="1">
        <f t="array" ref="I49">code128(B49)</f>
        <v>Ì01Î</v>
      </c>
    </row>
    <row r="50" spans="1:9" x14ac:dyDescent="0.3">
      <c r="A50" s="4">
        <f>[1]Sheet!A50</f>
        <v>0</v>
      </c>
      <c r="B50" s="9">
        <f>HLOOKUP(B$1,[1]Sheet!$B$1:$AI$1754,50,0)</f>
        <v>0</v>
      </c>
      <c r="C50" s="9">
        <f>HLOOKUP(C$1,[1]Sheet!$B$1:$AI$1754,50,0)</f>
        <v>0</v>
      </c>
      <c r="D50" s="8">
        <f>HLOOKUP(D$1,[1]Sheet!$B$1:$AI$1754,50,0)</f>
        <v>0</v>
      </c>
      <c r="E50" s="8">
        <f>HLOOKUP(E$1,[1]Sheet!$B$1:$AI$1754,50,0)</f>
        <v>0</v>
      </c>
      <c r="F50" s="10">
        <f>HLOOKUP(F$1,[1]Sheet!$B$1:$AI$1754,50,0)</f>
        <v>0</v>
      </c>
      <c r="G50" s="8">
        <f>HLOOKUP(G$1,[1]Sheet!$B$1:$AI$1754,50,0)</f>
        <v>0</v>
      </c>
      <c r="H50" s="13">
        <f>IF(HLOOKUP(H$1,[1]Sheet!$B$1:$AI$1754,50,0)&lt;&gt;"999",HLOOKUP(H$1,[1]Sheet!$B$1:$AI$1754,50,0),"ESTOQUE")</f>
        <v>0</v>
      </c>
      <c r="I50" s="5" t="str" cm="1">
        <f t="array" ref="I50">code128(B50)</f>
        <v>Ì01Î</v>
      </c>
    </row>
    <row r="51" spans="1:9" x14ac:dyDescent="0.3">
      <c r="A51" s="4">
        <f>[1]Sheet!A51</f>
        <v>0</v>
      </c>
      <c r="B51" s="9">
        <f>HLOOKUP(B$1,[1]Sheet!$B$1:$AI$1754,51,0)</f>
        <v>0</v>
      </c>
      <c r="C51" s="9">
        <f>HLOOKUP(C$1,[1]Sheet!$B$1:$AI$1754,51,0)</f>
        <v>0</v>
      </c>
      <c r="D51" s="8">
        <f>HLOOKUP(D$1,[1]Sheet!$B$1:$AI$1754,51,0)</f>
        <v>0</v>
      </c>
      <c r="E51" s="8">
        <f>HLOOKUP(E$1,[1]Sheet!$B$1:$AI$1754,51,0)</f>
        <v>0</v>
      </c>
      <c r="F51" s="10">
        <f>HLOOKUP(F$1,[1]Sheet!$B$1:$AI$1754,51,0)</f>
        <v>0</v>
      </c>
      <c r="G51" s="8">
        <f>HLOOKUP(G$1,[1]Sheet!$B$1:$AI$1754,51,0)</f>
        <v>0</v>
      </c>
      <c r="H51" s="13">
        <f>IF(HLOOKUP(H$1,[1]Sheet!$B$1:$AI$1754,51,0)&lt;&gt;"999",HLOOKUP(H$1,[1]Sheet!$B$1:$AI$1754,51,0),"ESTOQUE")</f>
        <v>0</v>
      </c>
      <c r="I51" s="5" t="str" cm="1">
        <f t="array" ref="I51">code128(B51)</f>
        <v>Ì01Î</v>
      </c>
    </row>
    <row r="52" spans="1:9" x14ac:dyDescent="0.3">
      <c r="A52" s="4">
        <f>[1]Sheet!A52</f>
        <v>0</v>
      </c>
      <c r="B52" s="9">
        <f>HLOOKUP(B$1,[1]Sheet!$B$1:$AI$1754,52,0)</f>
        <v>0</v>
      </c>
      <c r="C52" s="9">
        <f>HLOOKUP(C$1,[1]Sheet!$B$1:$AI$1754,52,0)</f>
        <v>0</v>
      </c>
      <c r="D52" s="8">
        <f>HLOOKUP(D$1,[1]Sheet!$B$1:$AI$1754,52,0)</f>
        <v>0</v>
      </c>
      <c r="E52" s="8">
        <f>HLOOKUP(E$1,[1]Sheet!$B$1:$AI$1754,52,0)</f>
        <v>0</v>
      </c>
      <c r="F52" s="10">
        <f>HLOOKUP(F$1,[1]Sheet!$B$1:$AI$1754,52,0)</f>
        <v>0</v>
      </c>
      <c r="G52" s="8">
        <f>HLOOKUP(G$1,[1]Sheet!$B$1:$AI$1754,52,0)</f>
        <v>0</v>
      </c>
      <c r="H52" s="13">
        <f>IF(HLOOKUP(H$1,[1]Sheet!$B$1:$AI$1754,52,0)&lt;&gt;"999",HLOOKUP(H$1,[1]Sheet!$B$1:$AI$1754,52,0),"ESTOQUE")</f>
        <v>0</v>
      </c>
      <c r="I52" s="5" t="str" cm="1">
        <f t="array" ref="I52">code128(B52)</f>
        <v>Ì01Î</v>
      </c>
    </row>
    <row r="53" spans="1:9" x14ac:dyDescent="0.3">
      <c r="A53" s="4">
        <f>[1]Sheet!A53</f>
        <v>0</v>
      </c>
      <c r="B53" s="9">
        <f>HLOOKUP(B$1,[1]Sheet!$B$1:$AI$1754,53,0)</f>
        <v>0</v>
      </c>
      <c r="C53" s="9">
        <f>HLOOKUP(C$1,[1]Sheet!$B$1:$AI$1754,53,0)</f>
        <v>0</v>
      </c>
      <c r="D53" s="8">
        <f>HLOOKUP(D$1,[1]Sheet!$B$1:$AI$1754,53,0)</f>
        <v>0</v>
      </c>
      <c r="E53" s="8">
        <f>HLOOKUP(E$1,[1]Sheet!$B$1:$AI$1754,53,0)</f>
        <v>0</v>
      </c>
      <c r="F53" s="10">
        <f>HLOOKUP(F$1,[1]Sheet!$B$1:$AI$1754,53,0)</f>
        <v>0</v>
      </c>
      <c r="G53" s="8">
        <f>HLOOKUP(G$1,[1]Sheet!$B$1:$AI$1754,53,0)</f>
        <v>0</v>
      </c>
      <c r="H53" s="13">
        <f>IF(HLOOKUP(H$1,[1]Sheet!$B$1:$AI$1754,53,0)&lt;&gt;"999",HLOOKUP(H$1,[1]Sheet!$B$1:$AI$1754,53,0),"ESTOQUE")</f>
        <v>0</v>
      </c>
      <c r="I53" s="5" t="str" cm="1">
        <f t="array" ref="I53">code128(B53)</f>
        <v>Ì01Î</v>
      </c>
    </row>
    <row r="54" spans="1:9" x14ac:dyDescent="0.3">
      <c r="A54" s="4">
        <f>[1]Sheet!A54</f>
        <v>0</v>
      </c>
      <c r="B54" s="9">
        <f>HLOOKUP(B$1,[1]Sheet!$B$1:$AI$1754,54,0)</f>
        <v>0</v>
      </c>
      <c r="C54" s="9">
        <f>HLOOKUP(C$1,[1]Sheet!$B$1:$AI$1754,54,0)</f>
        <v>0</v>
      </c>
      <c r="D54" s="8">
        <f>HLOOKUP(D$1,[1]Sheet!$B$1:$AI$1754,54,0)</f>
        <v>0</v>
      </c>
      <c r="E54" s="8">
        <f>HLOOKUP(E$1,[1]Sheet!$B$1:$AI$1754,54,0)</f>
        <v>0</v>
      </c>
      <c r="F54" s="10">
        <f>HLOOKUP(F$1,[1]Sheet!$B$1:$AI$1754,54,0)</f>
        <v>0</v>
      </c>
      <c r="G54" s="8">
        <f>HLOOKUP(G$1,[1]Sheet!$B$1:$AI$1754,54,0)</f>
        <v>0</v>
      </c>
      <c r="H54" s="13">
        <f>IF(HLOOKUP(H$1,[1]Sheet!$B$1:$AI$1754,54,0)&lt;&gt;"999",HLOOKUP(H$1,[1]Sheet!$B$1:$AI$1754,54,0),"ESTOQUE")</f>
        <v>0</v>
      </c>
      <c r="I54" s="5" t="str" cm="1">
        <f t="array" ref="I54">code128(B54)</f>
        <v>Ì01Î</v>
      </c>
    </row>
    <row r="55" spans="1:9" x14ac:dyDescent="0.3">
      <c r="A55" s="4">
        <f>[1]Sheet!A55</f>
        <v>0</v>
      </c>
      <c r="B55" s="9">
        <f>HLOOKUP(B$1,[1]Sheet!$B$1:$AI$1754,55,0)</f>
        <v>0</v>
      </c>
      <c r="C55" s="9">
        <f>HLOOKUP(C$1,[1]Sheet!$B$1:$AI$1754,55,0)</f>
        <v>0</v>
      </c>
      <c r="D55" s="8">
        <f>HLOOKUP(D$1,[1]Sheet!$B$1:$AI$1754,55,0)</f>
        <v>0</v>
      </c>
      <c r="E55" s="8">
        <f>HLOOKUP(E$1,[1]Sheet!$B$1:$AI$1754,55,0)</f>
        <v>0</v>
      </c>
      <c r="F55" s="10">
        <f>HLOOKUP(F$1,[1]Sheet!$B$1:$AI$1754,55,0)</f>
        <v>0</v>
      </c>
      <c r="G55" s="8">
        <f>HLOOKUP(G$1,[1]Sheet!$B$1:$AI$1754,55,0)</f>
        <v>0</v>
      </c>
      <c r="H55" s="13">
        <f>IF(HLOOKUP(H$1,[1]Sheet!$B$1:$AI$1754,55,0)&lt;&gt;"999",HLOOKUP(H$1,[1]Sheet!$B$1:$AI$1754,55,0),"ESTOQUE")</f>
        <v>0</v>
      </c>
      <c r="I55" s="5" t="str" cm="1">
        <f t="array" ref="I55">code128(B55)</f>
        <v>Ì01Î</v>
      </c>
    </row>
    <row r="56" spans="1:9" x14ac:dyDescent="0.3">
      <c r="A56" s="4">
        <f>[1]Sheet!A56</f>
        <v>0</v>
      </c>
      <c r="B56" s="9">
        <f>HLOOKUP(B$1,[1]Sheet!$B$1:$AI$1754,56,0)</f>
        <v>0</v>
      </c>
      <c r="C56" s="9">
        <f>HLOOKUP(C$1,[1]Sheet!$B$1:$AI$1754,56,0)</f>
        <v>0</v>
      </c>
      <c r="D56" s="8">
        <f>HLOOKUP(D$1,[1]Sheet!$B$1:$AI$1754,56,0)</f>
        <v>0</v>
      </c>
      <c r="E56" s="8">
        <f>HLOOKUP(E$1,[1]Sheet!$B$1:$AI$1754,56,0)</f>
        <v>0</v>
      </c>
      <c r="F56" s="10">
        <f>HLOOKUP(F$1,[1]Sheet!$B$1:$AI$1754,56,0)</f>
        <v>0</v>
      </c>
      <c r="G56" s="8">
        <f>HLOOKUP(G$1,[1]Sheet!$B$1:$AI$1754,56,0)</f>
        <v>0</v>
      </c>
      <c r="H56" s="13">
        <f>IF(HLOOKUP(H$1,[1]Sheet!$B$1:$AI$1754,56,0)&lt;&gt;"999",HLOOKUP(H$1,[1]Sheet!$B$1:$AI$1754,56,0),"ESTOQUE")</f>
        <v>0</v>
      </c>
      <c r="I56" s="5" t="str" cm="1">
        <f t="array" ref="I56">code128(B56)</f>
        <v>Ì01Î</v>
      </c>
    </row>
    <row r="57" spans="1:9" x14ac:dyDescent="0.3">
      <c r="A57" s="4">
        <f>[1]Sheet!A57</f>
        <v>0</v>
      </c>
      <c r="B57" s="9">
        <f>HLOOKUP(B$1,[1]Sheet!$B$1:$AI$1754,57,0)</f>
        <v>0</v>
      </c>
      <c r="C57" s="9">
        <f>HLOOKUP(C$1,[1]Sheet!$B$1:$AI$1754,57,0)</f>
        <v>0</v>
      </c>
      <c r="D57" s="8">
        <f>HLOOKUP(D$1,[1]Sheet!$B$1:$AI$1754,57,0)</f>
        <v>0</v>
      </c>
      <c r="E57" s="8">
        <f>HLOOKUP(E$1,[1]Sheet!$B$1:$AI$1754,57,0)</f>
        <v>0</v>
      </c>
      <c r="F57" s="10">
        <f>HLOOKUP(F$1,[1]Sheet!$B$1:$AI$1754,57,0)</f>
        <v>0</v>
      </c>
      <c r="G57" s="8">
        <f>HLOOKUP(G$1,[1]Sheet!$B$1:$AI$1754,57,0)</f>
        <v>0</v>
      </c>
      <c r="H57" s="13">
        <f>IF(HLOOKUP(H$1,[1]Sheet!$B$1:$AI$1754,57,0)&lt;&gt;"999",HLOOKUP(H$1,[1]Sheet!$B$1:$AI$1754,57,0),"ESTOQUE")</f>
        <v>0</v>
      </c>
      <c r="I57" s="5" t="str" cm="1">
        <f t="array" ref="I57">code128(B57)</f>
        <v>Ì01Î</v>
      </c>
    </row>
    <row r="58" spans="1:9" x14ac:dyDescent="0.3">
      <c r="A58" s="4">
        <f>[1]Sheet!A58</f>
        <v>0</v>
      </c>
      <c r="B58" s="9">
        <f>HLOOKUP(B$1,[1]Sheet!$B$1:$AI$1754,58,0)</f>
        <v>0</v>
      </c>
      <c r="C58" s="9">
        <f>HLOOKUP(C$1,[1]Sheet!$B$1:$AI$1754,58,0)</f>
        <v>0</v>
      </c>
      <c r="D58" s="8">
        <f>HLOOKUP(D$1,[1]Sheet!$B$1:$AI$1754,58,0)</f>
        <v>0</v>
      </c>
      <c r="E58" s="8">
        <f>HLOOKUP(E$1,[1]Sheet!$B$1:$AI$1754,58,0)</f>
        <v>0</v>
      </c>
      <c r="F58" s="10">
        <f>HLOOKUP(F$1,[1]Sheet!$B$1:$AI$1754,58,0)</f>
        <v>0</v>
      </c>
      <c r="G58" s="8">
        <f>HLOOKUP(G$1,[1]Sheet!$B$1:$AI$1754,58,0)</f>
        <v>0</v>
      </c>
      <c r="H58" s="13">
        <f>IF(HLOOKUP(H$1,[1]Sheet!$B$1:$AI$1754,58,0)&lt;&gt;"999",HLOOKUP(H$1,[1]Sheet!$B$1:$AI$1754,58,0),"ESTOQUE")</f>
        <v>0</v>
      </c>
      <c r="I58" s="5" t="str" cm="1">
        <f t="array" ref="I58">code128(B58)</f>
        <v>Ì01Î</v>
      </c>
    </row>
    <row r="59" spans="1:9" x14ac:dyDescent="0.3">
      <c r="A59" s="4">
        <f>[1]Sheet!A59</f>
        <v>0</v>
      </c>
      <c r="B59" s="9">
        <f>HLOOKUP(B$1,[1]Sheet!$B$1:$AI$1754,59,0)</f>
        <v>0</v>
      </c>
      <c r="C59" s="9">
        <f>HLOOKUP(C$1,[1]Sheet!$B$1:$AI$1754,59,0)</f>
        <v>0</v>
      </c>
      <c r="D59" s="8">
        <f>HLOOKUP(D$1,[1]Sheet!$B$1:$AI$1754,59,0)</f>
        <v>0</v>
      </c>
      <c r="E59" s="8">
        <f>HLOOKUP(E$1,[1]Sheet!$B$1:$AI$1754,59,0)</f>
        <v>0</v>
      </c>
      <c r="F59" s="10">
        <f>HLOOKUP(F$1,[1]Sheet!$B$1:$AI$1754,59,0)</f>
        <v>0</v>
      </c>
      <c r="G59" s="8">
        <f>HLOOKUP(G$1,[1]Sheet!$B$1:$AI$1754,59,0)</f>
        <v>0</v>
      </c>
      <c r="H59" s="13">
        <f>IF(HLOOKUP(H$1,[1]Sheet!$B$1:$AI$1754,59,0)&lt;&gt;"999",HLOOKUP(H$1,[1]Sheet!$B$1:$AI$1754,59,0),"ESTOQUE")</f>
        <v>0</v>
      </c>
      <c r="I59" s="5" t="str" cm="1">
        <f t="array" ref="I59">code128(B59)</f>
        <v>Ì01Î</v>
      </c>
    </row>
    <row r="60" spans="1:9" x14ac:dyDescent="0.3">
      <c r="A60" s="4">
        <f>[1]Sheet!A60</f>
        <v>0</v>
      </c>
      <c r="B60" s="9">
        <f>HLOOKUP(B$1,[1]Sheet!$B$1:$AI$1754,60,0)</f>
        <v>0</v>
      </c>
      <c r="C60" s="9">
        <f>HLOOKUP(C$1,[1]Sheet!$B$1:$AI$1754,60,0)</f>
        <v>0</v>
      </c>
      <c r="D60" s="8">
        <f>HLOOKUP(D$1,[1]Sheet!$B$1:$AI$1754,60,0)</f>
        <v>0</v>
      </c>
      <c r="E60" s="8">
        <f>HLOOKUP(E$1,[1]Sheet!$B$1:$AI$1754,60,0)</f>
        <v>0</v>
      </c>
      <c r="F60" s="10">
        <f>HLOOKUP(F$1,[1]Sheet!$B$1:$AI$1754,60,0)</f>
        <v>0</v>
      </c>
      <c r="G60" s="8">
        <f>HLOOKUP(G$1,[1]Sheet!$B$1:$AI$1754,60,0)</f>
        <v>0</v>
      </c>
      <c r="H60" s="13">
        <f>IF(HLOOKUP(H$1,[1]Sheet!$B$1:$AI$1754,60,0)&lt;&gt;"999",HLOOKUP(H$1,[1]Sheet!$B$1:$AI$1754,60,0),"ESTOQUE")</f>
        <v>0</v>
      </c>
      <c r="I60" s="5" t="str" cm="1">
        <f t="array" ref="I60">code128(B60)</f>
        <v>Ì01Î</v>
      </c>
    </row>
    <row r="61" spans="1:9" x14ac:dyDescent="0.3">
      <c r="A61" s="4">
        <f>[1]Sheet!A61</f>
        <v>0</v>
      </c>
      <c r="B61" s="9">
        <f>HLOOKUP(B$1,[1]Sheet!$B$1:$AI$1754,61,0)</f>
        <v>0</v>
      </c>
      <c r="C61" s="9">
        <f>HLOOKUP(C$1,[1]Sheet!$B$1:$AI$1754,61,0)</f>
        <v>0</v>
      </c>
      <c r="D61" s="8">
        <f>HLOOKUP(D$1,[1]Sheet!$B$1:$AI$1754,61,0)</f>
        <v>0</v>
      </c>
      <c r="E61" s="8">
        <f>HLOOKUP(E$1,[1]Sheet!$B$1:$AI$1754,61,0)</f>
        <v>0</v>
      </c>
      <c r="F61" s="10">
        <f>HLOOKUP(F$1,[1]Sheet!$B$1:$AI$1754,61,0)</f>
        <v>0</v>
      </c>
      <c r="G61" s="8">
        <f>HLOOKUP(G$1,[1]Sheet!$B$1:$AI$1754,61,0)</f>
        <v>0</v>
      </c>
      <c r="H61" s="13">
        <f>IF(HLOOKUP(H$1,[1]Sheet!$B$1:$AI$1754,61,0)&lt;&gt;"999",HLOOKUP(H$1,[1]Sheet!$B$1:$AI$1754,61,0),"ESTOQUE")</f>
        <v>0</v>
      </c>
      <c r="I61" s="5" t="str" cm="1">
        <f t="array" ref="I61">code128(B61)</f>
        <v>Ì01Î</v>
      </c>
    </row>
    <row r="62" spans="1:9" x14ac:dyDescent="0.3">
      <c r="A62" s="4">
        <f>[1]Sheet!A62</f>
        <v>0</v>
      </c>
      <c r="B62" s="9">
        <f>HLOOKUP(B$1,[1]Sheet!$B$1:$AI$1754,62,0)</f>
        <v>0</v>
      </c>
      <c r="C62" s="9">
        <f>HLOOKUP(C$1,[1]Sheet!$B$1:$AI$1754,62,0)</f>
        <v>0</v>
      </c>
      <c r="D62" s="8">
        <f>HLOOKUP(D$1,[1]Sheet!$B$1:$AI$1754,62,0)</f>
        <v>0</v>
      </c>
      <c r="E62" s="8">
        <f>HLOOKUP(E$1,[1]Sheet!$B$1:$AI$1754,62,0)</f>
        <v>0</v>
      </c>
      <c r="F62" s="10">
        <f>HLOOKUP(F$1,[1]Sheet!$B$1:$AI$1754,62,0)</f>
        <v>0</v>
      </c>
      <c r="G62" s="8">
        <f>HLOOKUP(G$1,[1]Sheet!$B$1:$AI$1754,62,0)</f>
        <v>0</v>
      </c>
      <c r="H62" s="13">
        <f>IF(HLOOKUP(H$1,[1]Sheet!$B$1:$AI$1754,62,0)&lt;&gt;"999",HLOOKUP(H$1,[1]Sheet!$B$1:$AI$1754,62,0),"ESTOQUE")</f>
        <v>0</v>
      </c>
      <c r="I62" s="5" t="str" cm="1">
        <f t="array" ref="I62">code128(B62)</f>
        <v>Ì01Î</v>
      </c>
    </row>
    <row r="63" spans="1:9" x14ac:dyDescent="0.3">
      <c r="A63" s="4">
        <f>[1]Sheet!A63</f>
        <v>0</v>
      </c>
      <c r="B63" s="9">
        <f>HLOOKUP(B$1,[1]Sheet!$B$1:$AI$1754,63,0)</f>
        <v>0</v>
      </c>
      <c r="C63" s="9">
        <f>HLOOKUP(C$1,[1]Sheet!$B$1:$AI$1754,63,0)</f>
        <v>0</v>
      </c>
      <c r="D63" s="8">
        <f>HLOOKUP(D$1,[1]Sheet!$B$1:$AI$1754,63,0)</f>
        <v>0</v>
      </c>
      <c r="E63" s="8">
        <f>HLOOKUP(E$1,[1]Sheet!$B$1:$AI$1754,63,0)</f>
        <v>0</v>
      </c>
      <c r="F63" s="10">
        <f>HLOOKUP(F$1,[1]Sheet!$B$1:$AI$1754,63,0)</f>
        <v>0</v>
      </c>
      <c r="G63" s="8">
        <f>HLOOKUP(G$1,[1]Sheet!$B$1:$AI$1754,63,0)</f>
        <v>0</v>
      </c>
      <c r="H63" s="13">
        <f>IF(HLOOKUP(H$1,[1]Sheet!$B$1:$AI$1754,63,0)&lt;&gt;"999",HLOOKUP(H$1,[1]Sheet!$B$1:$AI$1754,63,0),"ESTOQUE")</f>
        <v>0</v>
      </c>
      <c r="I63" s="5" t="str" cm="1">
        <f t="array" ref="I63">code128(B63)</f>
        <v>Ì01Î</v>
      </c>
    </row>
    <row r="64" spans="1:9" x14ac:dyDescent="0.3">
      <c r="A64" s="4">
        <f>[1]Sheet!A64</f>
        <v>0</v>
      </c>
      <c r="B64" s="9">
        <f>HLOOKUP(B$1,[1]Sheet!$B$1:$AI$1754,64,0)</f>
        <v>0</v>
      </c>
      <c r="C64" s="9">
        <f>HLOOKUP(C$1,[1]Sheet!$B$1:$AI$1754,64,0)</f>
        <v>0</v>
      </c>
      <c r="D64" s="8">
        <f>HLOOKUP(D$1,[1]Sheet!$B$1:$AI$1754,64,0)</f>
        <v>0</v>
      </c>
      <c r="E64" s="8">
        <f>HLOOKUP(E$1,[1]Sheet!$B$1:$AI$1754,64,0)</f>
        <v>0</v>
      </c>
      <c r="F64" s="10">
        <f>HLOOKUP(F$1,[1]Sheet!$B$1:$AI$1754,64,0)</f>
        <v>0</v>
      </c>
      <c r="G64" s="8">
        <f>HLOOKUP(G$1,[1]Sheet!$B$1:$AI$1754,64,0)</f>
        <v>0</v>
      </c>
      <c r="H64" s="13">
        <f>IF(HLOOKUP(H$1,[1]Sheet!$B$1:$AI$1754,64,0)&lt;&gt;"999",HLOOKUP(H$1,[1]Sheet!$B$1:$AI$1754,64,0),"ESTOQUE")</f>
        <v>0</v>
      </c>
      <c r="I64" s="5" t="str" cm="1">
        <f t="array" ref="I64">code128(B64)</f>
        <v>Ì01Î</v>
      </c>
    </row>
    <row r="65" spans="1:9" x14ac:dyDescent="0.3">
      <c r="A65" s="4">
        <f>[1]Sheet!A65</f>
        <v>0</v>
      </c>
      <c r="B65" s="9">
        <f>HLOOKUP(B$1,[1]Sheet!$B$1:$AI$1754,65,0)</f>
        <v>0</v>
      </c>
      <c r="C65" s="9">
        <f>HLOOKUP(C$1,[1]Sheet!$B$1:$AI$1754,65,0)</f>
        <v>0</v>
      </c>
      <c r="D65" s="8">
        <f>HLOOKUP(D$1,[1]Sheet!$B$1:$AI$1754,65,0)</f>
        <v>0</v>
      </c>
      <c r="E65" s="8">
        <f>HLOOKUP(E$1,[1]Sheet!$B$1:$AI$1754,65,0)</f>
        <v>0</v>
      </c>
      <c r="F65" s="10">
        <f>HLOOKUP(F$1,[1]Sheet!$B$1:$AI$1754,65,0)</f>
        <v>0</v>
      </c>
      <c r="G65" s="8">
        <f>HLOOKUP(G$1,[1]Sheet!$B$1:$AI$1754,65,0)</f>
        <v>0</v>
      </c>
      <c r="H65" s="13">
        <f>IF(HLOOKUP(H$1,[1]Sheet!$B$1:$AI$1754,65,0)&lt;&gt;"999",HLOOKUP(H$1,[1]Sheet!$B$1:$AI$1754,65,0),"ESTOQUE")</f>
        <v>0</v>
      </c>
      <c r="I65" s="5" t="str" cm="1">
        <f t="array" ref="I65">code128(B65)</f>
        <v>Ì01Î</v>
      </c>
    </row>
    <row r="66" spans="1:9" x14ac:dyDescent="0.3">
      <c r="A66" s="4">
        <f>[1]Sheet!A66</f>
        <v>0</v>
      </c>
      <c r="B66" s="9">
        <f>HLOOKUP(B$1,[1]Sheet!$B$1:$AI$1754,66,0)</f>
        <v>0</v>
      </c>
      <c r="C66" s="9">
        <f>HLOOKUP(C$1,[1]Sheet!$B$1:$AI$1754,66,0)</f>
        <v>0</v>
      </c>
      <c r="D66" s="8">
        <f>HLOOKUP(D$1,[1]Sheet!$B$1:$AI$1754,66,0)</f>
        <v>0</v>
      </c>
      <c r="E66" s="8">
        <f>HLOOKUP(E$1,[1]Sheet!$B$1:$AI$1754,66,0)</f>
        <v>0</v>
      </c>
      <c r="F66" s="10">
        <f>HLOOKUP(F$1,[1]Sheet!$B$1:$AI$1754,66,0)</f>
        <v>0</v>
      </c>
      <c r="G66" s="8">
        <f>HLOOKUP(G$1,[1]Sheet!$B$1:$AI$1754,66,0)</f>
        <v>0</v>
      </c>
      <c r="H66" s="13">
        <f>IF(HLOOKUP(H$1,[1]Sheet!$B$1:$AI$1754,66,0)&lt;&gt;"999",HLOOKUP(H$1,[1]Sheet!$B$1:$AI$1754,66,0),"ESTOQUE")</f>
        <v>0</v>
      </c>
      <c r="I66" s="5" t="str" cm="1">
        <f t="array" ref="I66">code128(B66)</f>
        <v>Ì01Î</v>
      </c>
    </row>
    <row r="67" spans="1:9" x14ac:dyDescent="0.3">
      <c r="A67" s="4">
        <f>[1]Sheet!A67</f>
        <v>0</v>
      </c>
      <c r="B67" s="9">
        <f>HLOOKUP(B$1,[1]Sheet!$B$1:$AI$1754,67,0)</f>
        <v>0</v>
      </c>
      <c r="C67" s="9">
        <f>HLOOKUP(C$1,[1]Sheet!$B$1:$AI$1754,67,0)</f>
        <v>0</v>
      </c>
      <c r="D67" s="8">
        <f>HLOOKUP(D$1,[1]Sheet!$B$1:$AI$1754,67,0)</f>
        <v>0</v>
      </c>
      <c r="E67" s="8">
        <f>HLOOKUP(E$1,[1]Sheet!$B$1:$AI$1754,67,0)</f>
        <v>0</v>
      </c>
      <c r="F67" s="10">
        <f>HLOOKUP(F$1,[1]Sheet!$B$1:$AI$1754,67,0)</f>
        <v>0</v>
      </c>
      <c r="G67" s="8">
        <f>HLOOKUP(G$1,[1]Sheet!$B$1:$AI$1754,67,0)</f>
        <v>0</v>
      </c>
      <c r="H67" s="13">
        <f>IF(HLOOKUP(H$1,[1]Sheet!$B$1:$AI$1754,67,0)&lt;&gt;"999",HLOOKUP(H$1,[1]Sheet!$B$1:$AI$1754,67,0),"ESTOQUE")</f>
        <v>0</v>
      </c>
      <c r="I67" s="5" t="str" cm="1">
        <f t="array" ref="I67">code128(B67)</f>
        <v>Ì01Î</v>
      </c>
    </row>
    <row r="68" spans="1:9" x14ac:dyDescent="0.3">
      <c r="A68" s="4">
        <f>[1]Sheet!A68</f>
        <v>0</v>
      </c>
      <c r="B68" s="9">
        <f>HLOOKUP(B$1,[1]Sheet!$B$1:$AI$1754,68,0)</f>
        <v>0</v>
      </c>
      <c r="C68" s="9">
        <f>HLOOKUP(C$1,[1]Sheet!$B$1:$AI$1754,68,0)</f>
        <v>0</v>
      </c>
      <c r="D68" s="8">
        <f>HLOOKUP(D$1,[1]Sheet!$B$1:$AI$1754,68,0)</f>
        <v>0</v>
      </c>
      <c r="E68" s="8">
        <f>HLOOKUP(E$1,[1]Sheet!$B$1:$AI$1754,68,0)</f>
        <v>0</v>
      </c>
      <c r="F68" s="10">
        <f>HLOOKUP(F$1,[1]Sheet!$B$1:$AI$1754,68,0)</f>
        <v>0</v>
      </c>
      <c r="G68" s="8">
        <f>HLOOKUP(G$1,[1]Sheet!$B$1:$AI$1754,68,0)</f>
        <v>0</v>
      </c>
      <c r="H68" s="13">
        <f>IF(HLOOKUP(H$1,[1]Sheet!$B$1:$AI$1754,68,0)&lt;&gt;"999",HLOOKUP(H$1,[1]Sheet!$B$1:$AI$1754,68,0),"ESTOQUE")</f>
        <v>0</v>
      </c>
      <c r="I68" s="5" t="str" cm="1">
        <f t="array" ref="I68">code128(B68)</f>
        <v>Ì01Î</v>
      </c>
    </row>
    <row r="69" spans="1:9" x14ac:dyDescent="0.3">
      <c r="A69" s="4">
        <f>[1]Sheet!A69</f>
        <v>0</v>
      </c>
      <c r="B69" s="9">
        <f>HLOOKUP(B$1,[1]Sheet!$B$1:$AI$1754,69,0)</f>
        <v>0</v>
      </c>
      <c r="C69" s="9">
        <f>HLOOKUP(C$1,[1]Sheet!$B$1:$AI$1754,69,0)</f>
        <v>0</v>
      </c>
      <c r="D69" s="8">
        <f>HLOOKUP(D$1,[1]Sheet!$B$1:$AI$1754,69,0)</f>
        <v>0</v>
      </c>
      <c r="E69" s="8">
        <f>HLOOKUP(E$1,[1]Sheet!$B$1:$AI$1754,69,0)</f>
        <v>0</v>
      </c>
      <c r="F69" s="10">
        <f>HLOOKUP(F$1,[1]Sheet!$B$1:$AI$1754,69,0)</f>
        <v>0</v>
      </c>
      <c r="G69" s="8">
        <f>HLOOKUP(G$1,[1]Sheet!$B$1:$AI$1754,69,0)</f>
        <v>0</v>
      </c>
      <c r="H69" s="13">
        <f>IF(HLOOKUP(H$1,[1]Sheet!$B$1:$AI$1754,69,0)&lt;&gt;"999",HLOOKUP(H$1,[1]Sheet!$B$1:$AI$1754,69,0),"ESTOQUE")</f>
        <v>0</v>
      </c>
      <c r="I69" s="5" t="str" cm="1">
        <f t="array" ref="I69">code128(B69)</f>
        <v>Ì01Î</v>
      </c>
    </row>
    <row r="70" spans="1:9" x14ac:dyDescent="0.3">
      <c r="A70" s="4">
        <f>[1]Sheet!A70</f>
        <v>0</v>
      </c>
      <c r="B70" s="9">
        <f>HLOOKUP(B$1,[1]Sheet!$B$1:$AI$1754,70,0)</f>
        <v>0</v>
      </c>
      <c r="C70" s="9">
        <f>HLOOKUP(C$1,[1]Sheet!$B$1:$AI$1754,70,0)</f>
        <v>0</v>
      </c>
      <c r="D70" s="8">
        <f>HLOOKUP(D$1,[1]Sheet!$B$1:$AI$1754,70,0)</f>
        <v>0</v>
      </c>
      <c r="E70" s="8">
        <f>HLOOKUP(E$1,[1]Sheet!$B$1:$AI$1754,70,0)</f>
        <v>0</v>
      </c>
      <c r="F70" s="10">
        <f>HLOOKUP(F$1,[1]Sheet!$B$1:$AI$1754,70,0)</f>
        <v>0</v>
      </c>
      <c r="G70" s="8">
        <f>HLOOKUP(G$1,[1]Sheet!$B$1:$AI$1754,70,0)</f>
        <v>0</v>
      </c>
      <c r="H70" s="13">
        <f>IF(HLOOKUP(H$1,[1]Sheet!$B$1:$AI$1754,70,0)&lt;&gt;"999",HLOOKUP(H$1,[1]Sheet!$B$1:$AI$1754,70,0),"ESTOQUE")</f>
        <v>0</v>
      </c>
      <c r="I70" s="5" t="str" cm="1">
        <f t="array" ref="I70">code128(B70)</f>
        <v>Ì01Î</v>
      </c>
    </row>
    <row r="71" spans="1:9" x14ac:dyDescent="0.3">
      <c r="A71" s="4">
        <f>[1]Sheet!A71</f>
        <v>0</v>
      </c>
      <c r="B71" s="9">
        <f>HLOOKUP(B$1,[1]Sheet!$B$1:$AI$1754,71,0)</f>
        <v>0</v>
      </c>
      <c r="C71" s="9">
        <f>HLOOKUP(C$1,[1]Sheet!$B$1:$AI$1754,71,0)</f>
        <v>0</v>
      </c>
      <c r="D71" s="8">
        <f>HLOOKUP(D$1,[1]Sheet!$B$1:$AI$1754,71,0)</f>
        <v>0</v>
      </c>
      <c r="E71" s="8">
        <f>HLOOKUP(E$1,[1]Sheet!$B$1:$AI$1754,71,0)</f>
        <v>0</v>
      </c>
      <c r="F71" s="10">
        <f>HLOOKUP(F$1,[1]Sheet!$B$1:$AI$1754,71,0)</f>
        <v>0</v>
      </c>
      <c r="G71" s="8">
        <f>HLOOKUP(G$1,[1]Sheet!$B$1:$AI$1754,71,0)</f>
        <v>0</v>
      </c>
      <c r="H71" s="13">
        <f>IF(HLOOKUP(H$1,[1]Sheet!$B$1:$AI$1754,71,0)&lt;&gt;"999",HLOOKUP(H$1,[1]Sheet!$B$1:$AI$1754,71,0),"ESTOQUE")</f>
        <v>0</v>
      </c>
      <c r="I71" s="5" t="str" cm="1">
        <f t="array" ref="I71">code128(B71)</f>
        <v>Ì01Î</v>
      </c>
    </row>
    <row r="72" spans="1:9" x14ac:dyDescent="0.3">
      <c r="A72" s="4">
        <f>[1]Sheet!A72</f>
        <v>0</v>
      </c>
      <c r="B72" s="9">
        <f>HLOOKUP(B$1,[1]Sheet!$B$1:$AI$1754,72,0)</f>
        <v>0</v>
      </c>
      <c r="C72" s="9">
        <f>HLOOKUP(C$1,[1]Sheet!$B$1:$AI$1754,72,0)</f>
        <v>0</v>
      </c>
      <c r="D72" s="8">
        <f>HLOOKUP(D$1,[1]Sheet!$B$1:$AI$1754,72,0)</f>
        <v>0</v>
      </c>
      <c r="E72" s="8">
        <f>HLOOKUP(E$1,[1]Sheet!$B$1:$AI$1754,72,0)</f>
        <v>0</v>
      </c>
      <c r="F72" s="10">
        <f>HLOOKUP(F$1,[1]Sheet!$B$1:$AI$1754,72,0)</f>
        <v>0</v>
      </c>
      <c r="G72" s="8">
        <f>HLOOKUP(G$1,[1]Sheet!$B$1:$AI$1754,72,0)</f>
        <v>0</v>
      </c>
      <c r="H72" s="13">
        <f>IF(HLOOKUP(H$1,[1]Sheet!$B$1:$AI$1754,72,0)&lt;&gt;"999",HLOOKUP(H$1,[1]Sheet!$B$1:$AI$1754,72,0),"ESTOQUE")</f>
        <v>0</v>
      </c>
      <c r="I72" s="5" t="str" cm="1">
        <f t="array" ref="I72">code128(B72)</f>
        <v>Ì01Î</v>
      </c>
    </row>
    <row r="73" spans="1:9" x14ac:dyDescent="0.3">
      <c r="A73" s="4">
        <f>[1]Sheet!A73</f>
        <v>0</v>
      </c>
      <c r="B73" s="9">
        <f>HLOOKUP(B$1,[1]Sheet!$B$1:$AI$1754,73,0)</f>
        <v>0</v>
      </c>
      <c r="C73" s="9">
        <f>HLOOKUP(C$1,[1]Sheet!$B$1:$AI$1754,73,0)</f>
        <v>0</v>
      </c>
      <c r="D73" s="8">
        <f>HLOOKUP(D$1,[1]Sheet!$B$1:$AI$1754,73,0)</f>
        <v>0</v>
      </c>
      <c r="E73" s="8">
        <f>HLOOKUP(E$1,[1]Sheet!$B$1:$AI$1754,73,0)</f>
        <v>0</v>
      </c>
      <c r="F73" s="10">
        <f>HLOOKUP(F$1,[1]Sheet!$B$1:$AI$1754,73,0)</f>
        <v>0</v>
      </c>
      <c r="G73" s="8">
        <f>HLOOKUP(G$1,[1]Sheet!$B$1:$AI$1754,73,0)</f>
        <v>0</v>
      </c>
      <c r="H73" s="13">
        <f>IF(HLOOKUP(H$1,[1]Sheet!$B$1:$AI$1754,73,0)&lt;&gt;"999",HLOOKUP(H$1,[1]Sheet!$B$1:$AI$1754,73,0),"ESTOQUE")</f>
        <v>0</v>
      </c>
      <c r="I73" s="5" t="str" cm="1">
        <f t="array" ref="I73">code128(B73)</f>
        <v>Ì01Î</v>
      </c>
    </row>
    <row r="74" spans="1:9" x14ac:dyDescent="0.3">
      <c r="A74" s="4">
        <f>[1]Sheet!A74</f>
        <v>0</v>
      </c>
      <c r="B74" s="9">
        <f>HLOOKUP(B$1,[1]Sheet!$B$1:$AI$1754,74,0)</f>
        <v>0</v>
      </c>
      <c r="C74" s="9">
        <f>HLOOKUP(C$1,[1]Sheet!$B$1:$AI$1754,74,0)</f>
        <v>0</v>
      </c>
      <c r="D74" s="8">
        <f>HLOOKUP(D$1,[1]Sheet!$B$1:$AI$1754,74,0)</f>
        <v>0</v>
      </c>
      <c r="E74" s="8">
        <f>HLOOKUP(E$1,[1]Sheet!$B$1:$AI$1754,74,0)</f>
        <v>0</v>
      </c>
      <c r="F74" s="10">
        <f>HLOOKUP(F$1,[1]Sheet!$B$1:$AI$1754,74,0)</f>
        <v>0</v>
      </c>
      <c r="G74" s="8">
        <f>HLOOKUP(G$1,[1]Sheet!$B$1:$AI$1754,74,0)</f>
        <v>0</v>
      </c>
      <c r="H74" s="13">
        <f>IF(HLOOKUP(H$1,[1]Sheet!$B$1:$AI$1754,74,0)&lt;&gt;"999",HLOOKUP(H$1,[1]Sheet!$B$1:$AI$1754,74,0),"ESTOQUE")</f>
        <v>0</v>
      </c>
      <c r="I74" s="5" t="str" cm="1">
        <f t="array" ref="I74">code128(B74)</f>
        <v>Ì01Î</v>
      </c>
    </row>
    <row r="75" spans="1:9" x14ac:dyDescent="0.3">
      <c r="A75" s="4">
        <f>[1]Sheet!A75</f>
        <v>0</v>
      </c>
      <c r="B75" s="9">
        <f>HLOOKUP(B$1,[1]Sheet!$B$1:$AI$1754,75,0)</f>
        <v>0</v>
      </c>
      <c r="C75" s="9">
        <f>HLOOKUP(C$1,[1]Sheet!$B$1:$AI$1754,75,0)</f>
        <v>0</v>
      </c>
      <c r="D75" s="8">
        <f>HLOOKUP(D$1,[1]Sheet!$B$1:$AI$1754,75,0)</f>
        <v>0</v>
      </c>
      <c r="E75" s="8">
        <f>HLOOKUP(E$1,[1]Sheet!$B$1:$AI$1754,75,0)</f>
        <v>0</v>
      </c>
      <c r="F75" s="10">
        <f>HLOOKUP(F$1,[1]Sheet!$B$1:$AI$1754,75,0)</f>
        <v>0</v>
      </c>
      <c r="G75" s="8">
        <f>HLOOKUP(G$1,[1]Sheet!$B$1:$AI$1754,75,0)</f>
        <v>0</v>
      </c>
      <c r="H75" s="13">
        <f>IF(HLOOKUP(H$1,[1]Sheet!$B$1:$AI$1754,75,0)&lt;&gt;"999",HLOOKUP(H$1,[1]Sheet!$B$1:$AI$1754,75,0),"ESTOQUE")</f>
        <v>0</v>
      </c>
      <c r="I75" s="5" t="str" cm="1">
        <f t="array" ref="I75">code128(B75)</f>
        <v>Ì01Î</v>
      </c>
    </row>
    <row r="76" spans="1:9" x14ac:dyDescent="0.3">
      <c r="A76" s="4">
        <f>[1]Sheet!A76</f>
        <v>0</v>
      </c>
      <c r="B76" s="9">
        <f>HLOOKUP(B$1,[1]Sheet!$B$1:$AI$1754,76,0)</f>
        <v>0</v>
      </c>
      <c r="C76" s="9">
        <f>HLOOKUP(C$1,[1]Sheet!$B$1:$AI$1754,76,0)</f>
        <v>0</v>
      </c>
      <c r="D76" s="8">
        <f>HLOOKUP(D$1,[1]Sheet!$B$1:$AI$1754,76,0)</f>
        <v>0</v>
      </c>
      <c r="E76" s="8">
        <f>HLOOKUP(E$1,[1]Sheet!$B$1:$AI$1754,76,0)</f>
        <v>0</v>
      </c>
      <c r="F76" s="10">
        <f>HLOOKUP(F$1,[1]Sheet!$B$1:$AI$1754,76,0)</f>
        <v>0</v>
      </c>
      <c r="G76" s="8">
        <f>HLOOKUP(G$1,[1]Sheet!$B$1:$AI$1754,76,0)</f>
        <v>0</v>
      </c>
      <c r="H76" s="13">
        <f>IF(HLOOKUP(H$1,[1]Sheet!$B$1:$AI$1754,76,0)&lt;&gt;"999",HLOOKUP(H$1,[1]Sheet!$B$1:$AI$1754,76,0),"ESTOQUE")</f>
        <v>0</v>
      </c>
      <c r="I76" s="5" t="str" cm="1">
        <f t="array" ref="I76">code128(B76)</f>
        <v>Ì01Î</v>
      </c>
    </row>
    <row r="77" spans="1:9" x14ac:dyDescent="0.3">
      <c r="A77" s="4">
        <f>[1]Sheet!A77</f>
        <v>0</v>
      </c>
      <c r="B77" s="9">
        <f>HLOOKUP(B$1,[1]Sheet!$B$1:$AI$1754,77,0)</f>
        <v>0</v>
      </c>
      <c r="C77" s="9">
        <f>HLOOKUP(C$1,[1]Sheet!$B$1:$AI$1754,77,0)</f>
        <v>0</v>
      </c>
      <c r="D77" s="8">
        <f>HLOOKUP(D$1,[1]Sheet!$B$1:$AI$1754,77,0)</f>
        <v>0</v>
      </c>
      <c r="E77" s="8">
        <f>HLOOKUP(E$1,[1]Sheet!$B$1:$AI$1754,77,0)</f>
        <v>0</v>
      </c>
      <c r="F77" s="10">
        <f>HLOOKUP(F$1,[1]Sheet!$B$1:$AI$1754,77,0)</f>
        <v>0</v>
      </c>
      <c r="G77" s="8">
        <f>HLOOKUP(G$1,[1]Sheet!$B$1:$AI$1754,77,0)</f>
        <v>0</v>
      </c>
      <c r="H77" s="13">
        <f>IF(HLOOKUP(H$1,[1]Sheet!$B$1:$AI$1754,77,0)&lt;&gt;"999",HLOOKUP(H$1,[1]Sheet!$B$1:$AI$1754,77,0),"ESTOQUE")</f>
        <v>0</v>
      </c>
      <c r="I77" s="5" t="str" cm="1">
        <f t="array" ref="I77">code128(B77)</f>
        <v>Ì01Î</v>
      </c>
    </row>
    <row r="78" spans="1:9" x14ac:dyDescent="0.3">
      <c r="A78" s="4">
        <f>[1]Sheet!A78</f>
        <v>0</v>
      </c>
      <c r="B78" s="9">
        <f>HLOOKUP(B$1,[1]Sheet!$B$1:$AI$1754,78,0)</f>
        <v>0</v>
      </c>
      <c r="C78" s="9">
        <f>HLOOKUP(C$1,[1]Sheet!$B$1:$AI$1754,78,0)</f>
        <v>0</v>
      </c>
      <c r="D78" s="8">
        <f>HLOOKUP(D$1,[1]Sheet!$B$1:$AI$1754,78,0)</f>
        <v>0</v>
      </c>
      <c r="E78" s="8">
        <f>HLOOKUP(E$1,[1]Sheet!$B$1:$AI$1754,78,0)</f>
        <v>0</v>
      </c>
      <c r="F78" s="10">
        <f>HLOOKUP(F$1,[1]Sheet!$B$1:$AI$1754,78,0)</f>
        <v>0</v>
      </c>
      <c r="G78" s="8">
        <f>HLOOKUP(G$1,[1]Sheet!$B$1:$AI$1754,78,0)</f>
        <v>0</v>
      </c>
      <c r="H78" s="13">
        <f>IF(HLOOKUP(H$1,[1]Sheet!$B$1:$AI$1754,78,0)&lt;&gt;"999",HLOOKUP(H$1,[1]Sheet!$B$1:$AI$1754,78,0),"ESTOQUE")</f>
        <v>0</v>
      </c>
      <c r="I78" s="5" t="str" cm="1">
        <f t="array" ref="I78">code128(B78)</f>
        <v>Ì01Î</v>
      </c>
    </row>
    <row r="79" spans="1:9" x14ac:dyDescent="0.3">
      <c r="A79" s="4">
        <f>[1]Sheet!A79</f>
        <v>0</v>
      </c>
      <c r="B79" s="9">
        <f>HLOOKUP(B$1,[1]Sheet!$B$1:$AI$1754,79,0)</f>
        <v>0</v>
      </c>
      <c r="C79" s="9">
        <f>HLOOKUP(C$1,[1]Sheet!$B$1:$AI$1754,79,0)</f>
        <v>0</v>
      </c>
      <c r="D79" s="8">
        <f>HLOOKUP(D$1,[1]Sheet!$B$1:$AI$1754,79,0)</f>
        <v>0</v>
      </c>
      <c r="E79" s="8">
        <f>HLOOKUP(E$1,[1]Sheet!$B$1:$AI$1754,79,0)</f>
        <v>0</v>
      </c>
      <c r="F79" s="10">
        <f>HLOOKUP(F$1,[1]Sheet!$B$1:$AI$1754,79,0)</f>
        <v>0</v>
      </c>
      <c r="G79" s="8">
        <f>HLOOKUP(G$1,[1]Sheet!$B$1:$AI$1754,79,0)</f>
        <v>0</v>
      </c>
      <c r="H79" s="13">
        <f>IF(HLOOKUP(H$1,[1]Sheet!$B$1:$AI$1754,79,0)&lt;&gt;"999",HLOOKUP(H$1,[1]Sheet!$B$1:$AI$1754,79,0),"ESTOQUE")</f>
        <v>0</v>
      </c>
      <c r="I79" s="5" t="str" cm="1">
        <f t="array" ref="I79">code128(B79)</f>
        <v>Ì01Î</v>
      </c>
    </row>
    <row r="80" spans="1:9" x14ac:dyDescent="0.3">
      <c r="A80" s="4">
        <f>[1]Sheet!A80</f>
        <v>0</v>
      </c>
      <c r="B80" s="9">
        <f>HLOOKUP(B$1,[1]Sheet!$B$1:$AI$1754,80,0)</f>
        <v>0</v>
      </c>
      <c r="C80" s="9">
        <f>HLOOKUP(C$1,[1]Sheet!$B$1:$AI$1754,80,0)</f>
        <v>0</v>
      </c>
      <c r="D80" s="8">
        <f>HLOOKUP(D$1,[1]Sheet!$B$1:$AI$1754,80,0)</f>
        <v>0</v>
      </c>
      <c r="E80" s="8">
        <f>HLOOKUP(E$1,[1]Sheet!$B$1:$AI$1754,80,0)</f>
        <v>0</v>
      </c>
      <c r="F80" s="10">
        <f>HLOOKUP(F$1,[1]Sheet!$B$1:$AI$1754,80,0)</f>
        <v>0</v>
      </c>
      <c r="G80" s="8">
        <f>HLOOKUP(G$1,[1]Sheet!$B$1:$AI$1754,80,0)</f>
        <v>0</v>
      </c>
      <c r="H80" s="13">
        <f>IF(HLOOKUP(H$1,[1]Sheet!$B$1:$AI$1754,80,0)&lt;&gt;"999",HLOOKUP(H$1,[1]Sheet!$B$1:$AI$1754,80,0),"ESTOQUE")</f>
        <v>0</v>
      </c>
      <c r="I80" s="5" t="str" cm="1">
        <f t="array" ref="I80">code128(B80)</f>
        <v>Ì01Î</v>
      </c>
    </row>
    <row r="81" spans="1:9" x14ac:dyDescent="0.3">
      <c r="A81" s="4">
        <f>[1]Sheet!A81</f>
        <v>0</v>
      </c>
      <c r="B81" s="9">
        <f>HLOOKUP(B$1,[1]Sheet!$B$1:$AI$1754,81,0)</f>
        <v>0</v>
      </c>
      <c r="C81" s="9">
        <f>HLOOKUP(C$1,[1]Sheet!$B$1:$AI$1754,81,0)</f>
        <v>0</v>
      </c>
      <c r="D81" s="8">
        <f>HLOOKUP(D$1,[1]Sheet!$B$1:$AI$1754,81,0)</f>
        <v>0</v>
      </c>
      <c r="E81" s="8">
        <f>HLOOKUP(E$1,[1]Sheet!$B$1:$AI$1754,81,0)</f>
        <v>0</v>
      </c>
      <c r="F81" s="10">
        <f>HLOOKUP(F$1,[1]Sheet!$B$1:$AI$1754,81,0)</f>
        <v>0</v>
      </c>
      <c r="G81" s="8">
        <f>HLOOKUP(G$1,[1]Sheet!$B$1:$AI$1754,81,0)</f>
        <v>0</v>
      </c>
      <c r="H81" s="13">
        <f>IF(HLOOKUP(H$1,[1]Sheet!$B$1:$AI$1754,81,0)&lt;&gt;"999",HLOOKUP(H$1,[1]Sheet!$B$1:$AI$1754,81,0),"ESTOQUE")</f>
        <v>0</v>
      </c>
      <c r="I81" s="5" t="str" cm="1">
        <f t="array" ref="I81">code128(B81)</f>
        <v>Ì01Î</v>
      </c>
    </row>
    <row r="82" spans="1:9" x14ac:dyDescent="0.3">
      <c r="A82" s="4">
        <f>[1]Sheet!A82</f>
        <v>0</v>
      </c>
      <c r="B82" s="9">
        <f>HLOOKUP(B$1,[1]Sheet!$B$1:$AI$1754,82,0)</f>
        <v>0</v>
      </c>
      <c r="C82" s="9">
        <f>HLOOKUP(C$1,[1]Sheet!$B$1:$AI$1754,82,0)</f>
        <v>0</v>
      </c>
      <c r="D82" s="8">
        <f>HLOOKUP(D$1,[1]Sheet!$B$1:$AI$1754,82,0)</f>
        <v>0</v>
      </c>
      <c r="E82" s="8">
        <f>HLOOKUP(E$1,[1]Sheet!$B$1:$AI$1754,82,0)</f>
        <v>0</v>
      </c>
      <c r="F82" s="10">
        <f>HLOOKUP(F$1,[1]Sheet!$B$1:$AI$1754,82,0)</f>
        <v>0</v>
      </c>
      <c r="G82" s="8">
        <f>HLOOKUP(G$1,[1]Sheet!$B$1:$AI$1754,82,0)</f>
        <v>0</v>
      </c>
      <c r="H82" s="13">
        <f>IF(HLOOKUP(H$1,[1]Sheet!$B$1:$AI$1754,82,0)&lt;&gt;"999",HLOOKUP(H$1,[1]Sheet!$B$1:$AI$1754,82,0),"ESTOQUE")</f>
        <v>0</v>
      </c>
      <c r="I82" s="5" t="str" cm="1">
        <f t="array" ref="I82">code128(B82)</f>
        <v>Ì01Î</v>
      </c>
    </row>
    <row r="83" spans="1:9" x14ac:dyDescent="0.3">
      <c r="A83" s="4">
        <f>[1]Sheet!A83</f>
        <v>0</v>
      </c>
      <c r="B83" s="9">
        <f>HLOOKUP(B$1,[1]Sheet!$B$1:$AI$1754,83,0)</f>
        <v>0</v>
      </c>
      <c r="C83" s="9">
        <f>HLOOKUP(C$1,[1]Sheet!$B$1:$AI$1754,83,0)</f>
        <v>0</v>
      </c>
      <c r="D83" s="8">
        <f>HLOOKUP(D$1,[1]Sheet!$B$1:$AI$1754,83,0)</f>
        <v>0</v>
      </c>
      <c r="E83" s="8">
        <f>HLOOKUP(E$1,[1]Sheet!$B$1:$AI$1754,83,0)</f>
        <v>0</v>
      </c>
      <c r="F83" s="10">
        <f>HLOOKUP(F$1,[1]Sheet!$B$1:$AI$1754,83,0)</f>
        <v>0</v>
      </c>
      <c r="G83" s="8">
        <f>HLOOKUP(G$1,[1]Sheet!$B$1:$AI$1754,83,0)</f>
        <v>0</v>
      </c>
      <c r="H83" s="13">
        <f>IF(HLOOKUP(H$1,[1]Sheet!$B$1:$AI$1754,83,0)&lt;&gt;"999",HLOOKUP(H$1,[1]Sheet!$B$1:$AI$1754,83,0),"ESTOQUE")</f>
        <v>0</v>
      </c>
      <c r="I83" s="5" t="str" cm="1">
        <f t="array" ref="I83">code128(B83)</f>
        <v>Ì01Î</v>
      </c>
    </row>
    <row r="84" spans="1:9" x14ac:dyDescent="0.3">
      <c r="A84" s="4">
        <f>[1]Sheet!A84</f>
        <v>0</v>
      </c>
      <c r="B84" s="9">
        <f>HLOOKUP(B$1,[1]Sheet!$B$1:$AI$1754,84,0)</f>
        <v>0</v>
      </c>
      <c r="C84" s="9">
        <f>HLOOKUP(C$1,[1]Sheet!$B$1:$AI$1754,84,0)</f>
        <v>0</v>
      </c>
      <c r="D84" s="8">
        <f>HLOOKUP(D$1,[1]Sheet!$B$1:$AI$1754,84,0)</f>
        <v>0</v>
      </c>
      <c r="E84" s="8">
        <f>HLOOKUP(E$1,[1]Sheet!$B$1:$AI$1754,84,0)</f>
        <v>0</v>
      </c>
      <c r="F84" s="10">
        <f>HLOOKUP(F$1,[1]Sheet!$B$1:$AI$1754,84,0)</f>
        <v>0</v>
      </c>
      <c r="G84" s="8">
        <f>HLOOKUP(G$1,[1]Sheet!$B$1:$AI$1754,84,0)</f>
        <v>0</v>
      </c>
      <c r="H84" s="13">
        <f>IF(HLOOKUP(H$1,[1]Sheet!$B$1:$AI$1754,84,0)&lt;&gt;"999",HLOOKUP(H$1,[1]Sheet!$B$1:$AI$1754,84,0),"ESTOQUE")</f>
        <v>0</v>
      </c>
      <c r="I84" s="5" t="str" cm="1">
        <f t="array" ref="I84">code128(B84)</f>
        <v>Ì01Î</v>
      </c>
    </row>
    <row r="85" spans="1:9" x14ac:dyDescent="0.3">
      <c r="A85" s="4">
        <f>[1]Sheet!A85</f>
        <v>0</v>
      </c>
      <c r="B85" s="9">
        <f>HLOOKUP(B$1,[1]Sheet!$B$1:$AI$1754,85,0)</f>
        <v>0</v>
      </c>
      <c r="C85" s="9">
        <f>HLOOKUP(C$1,[1]Sheet!$B$1:$AI$1754,85,0)</f>
        <v>0</v>
      </c>
      <c r="D85" s="8">
        <f>HLOOKUP(D$1,[1]Sheet!$B$1:$AI$1754,85,0)</f>
        <v>0</v>
      </c>
      <c r="E85" s="8">
        <f>HLOOKUP(E$1,[1]Sheet!$B$1:$AI$1754,85,0)</f>
        <v>0</v>
      </c>
      <c r="F85" s="10">
        <f>HLOOKUP(F$1,[1]Sheet!$B$1:$AI$1754,85,0)</f>
        <v>0</v>
      </c>
      <c r="G85" s="8">
        <f>HLOOKUP(G$1,[1]Sheet!$B$1:$AI$1754,85,0)</f>
        <v>0</v>
      </c>
      <c r="H85" s="13">
        <f>IF(HLOOKUP(H$1,[1]Sheet!$B$1:$AI$1754,85,0)&lt;&gt;"999",HLOOKUP(H$1,[1]Sheet!$B$1:$AI$1754,85,0),"ESTOQUE")</f>
        <v>0</v>
      </c>
      <c r="I85" s="5" t="str" cm="1">
        <f t="array" ref="I85">code128(B85)</f>
        <v>Ì01Î</v>
      </c>
    </row>
    <row r="86" spans="1:9" x14ac:dyDescent="0.3">
      <c r="A86" s="4">
        <f>[1]Sheet!A86</f>
        <v>0</v>
      </c>
      <c r="B86" s="9">
        <f>HLOOKUP(B$1,[1]Sheet!$B$1:$AI$1754,86,0)</f>
        <v>0</v>
      </c>
      <c r="C86" s="9">
        <f>HLOOKUP(C$1,[1]Sheet!$B$1:$AI$1754,86,0)</f>
        <v>0</v>
      </c>
      <c r="D86" s="8">
        <f>HLOOKUP(D$1,[1]Sheet!$B$1:$AI$1754,86,0)</f>
        <v>0</v>
      </c>
      <c r="E86" s="8">
        <f>HLOOKUP(E$1,[1]Sheet!$B$1:$AI$1754,86,0)</f>
        <v>0</v>
      </c>
      <c r="F86" s="10">
        <f>HLOOKUP(F$1,[1]Sheet!$B$1:$AI$1754,86,0)</f>
        <v>0</v>
      </c>
      <c r="G86" s="8">
        <f>HLOOKUP(G$1,[1]Sheet!$B$1:$AI$1754,86,0)</f>
        <v>0</v>
      </c>
      <c r="H86" s="13">
        <f>IF(HLOOKUP(H$1,[1]Sheet!$B$1:$AI$1754,86,0)&lt;&gt;"999",HLOOKUP(H$1,[1]Sheet!$B$1:$AI$1754,86,0),"ESTOQUE")</f>
        <v>0</v>
      </c>
      <c r="I86" s="5" t="str" cm="1">
        <f t="array" ref="I86">code128(B86)</f>
        <v>Ì01Î</v>
      </c>
    </row>
    <row r="87" spans="1:9" x14ac:dyDescent="0.3">
      <c r="A87" s="4">
        <f>[1]Sheet!A87</f>
        <v>0</v>
      </c>
      <c r="B87" s="9">
        <f>HLOOKUP(B$1,[1]Sheet!$B$1:$AI$1754,87,0)</f>
        <v>0</v>
      </c>
      <c r="C87" s="9">
        <f>HLOOKUP(C$1,[1]Sheet!$B$1:$AI$1754,87,0)</f>
        <v>0</v>
      </c>
      <c r="D87" s="8">
        <f>HLOOKUP(D$1,[1]Sheet!$B$1:$AI$1754,87,0)</f>
        <v>0</v>
      </c>
      <c r="E87" s="8">
        <f>HLOOKUP(E$1,[1]Sheet!$B$1:$AI$1754,87,0)</f>
        <v>0</v>
      </c>
      <c r="F87" s="10">
        <f>HLOOKUP(F$1,[1]Sheet!$B$1:$AI$1754,87,0)</f>
        <v>0</v>
      </c>
      <c r="G87" s="8">
        <f>HLOOKUP(G$1,[1]Sheet!$B$1:$AI$1754,87,0)</f>
        <v>0</v>
      </c>
      <c r="H87" s="13">
        <f>IF(HLOOKUP(H$1,[1]Sheet!$B$1:$AI$1754,87,0)&lt;&gt;"999",HLOOKUP(H$1,[1]Sheet!$B$1:$AI$1754,87,0),"ESTOQUE")</f>
        <v>0</v>
      </c>
      <c r="I87" s="5" t="str" cm="1">
        <f t="array" ref="I87">code128(B87)</f>
        <v>Ì01Î</v>
      </c>
    </row>
    <row r="88" spans="1:9" x14ac:dyDescent="0.3">
      <c r="A88" s="4">
        <f>[1]Sheet!A88</f>
        <v>0</v>
      </c>
      <c r="B88" s="9">
        <f>HLOOKUP(B$1,[1]Sheet!$B$1:$AI$1754,88,0)</f>
        <v>0</v>
      </c>
      <c r="C88" s="9">
        <f>HLOOKUP(C$1,[1]Sheet!$B$1:$AI$1754,88,0)</f>
        <v>0</v>
      </c>
      <c r="D88" s="8">
        <f>HLOOKUP(D$1,[1]Sheet!$B$1:$AI$1754,88,0)</f>
        <v>0</v>
      </c>
      <c r="E88" s="8">
        <f>HLOOKUP(E$1,[1]Sheet!$B$1:$AI$1754,88,0)</f>
        <v>0</v>
      </c>
      <c r="F88" s="10">
        <f>HLOOKUP(F$1,[1]Sheet!$B$1:$AI$1754,88,0)</f>
        <v>0</v>
      </c>
      <c r="G88" s="8">
        <f>HLOOKUP(G$1,[1]Sheet!$B$1:$AI$1754,88,0)</f>
        <v>0</v>
      </c>
      <c r="H88" s="13">
        <f>IF(HLOOKUP(H$1,[1]Sheet!$B$1:$AI$1754,88,0)&lt;&gt;"999",HLOOKUP(H$1,[1]Sheet!$B$1:$AI$1754,88,0),"ESTOQUE")</f>
        <v>0</v>
      </c>
      <c r="I88" s="5" t="str" cm="1">
        <f t="array" ref="I88">code128(B88)</f>
        <v>Ì01Î</v>
      </c>
    </row>
    <row r="89" spans="1:9" x14ac:dyDescent="0.3">
      <c r="A89" s="4">
        <f>[1]Sheet!A89</f>
        <v>0</v>
      </c>
      <c r="B89" s="9">
        <f>HLOOKUP(B$1,[1]Sheet!$B$1:$AI$1754,89,0)</f>
        <v>0</v>
      </c>
      <c r="C89" s="9">
        <f>HLOOKUP(C$1,[1]Sheet!$B$1:$AI$1754,89,0)</f>
        <v>0</v>
      </c>
      <c r="D89" s="8">
        <f>HLOOKUP(D$1,[1]Sheet!$B$1:$AI$1754,89,0)</f>
        <v>0</v>
      </c>
      <c r="E89" s="8">
        <f>HLOOKUP(E$1,[1]Sheet!$B$1:$AI$1754,89,0)</f>
        <v>0</v>
      </c>
      <c r="F89" s="10">
        <f>HLOOKUP(F$1,[1]Sheet!$B$1:$AI$1754,89,0)</f>
        <v>0</v>
      </c>
      <c r="G89" s="8">
        <f>HLOOKUP(G$1,[1]Sheet!$B$1:$AI$1754,89,0)</f>
        <v>0</v>
      </c>
      <c r="H89" s="13">
        <f>IF(HLOOKUP(H$1,[1]Sheet!$B$1:$AI$1754,89,0)&lt;&gt;"999",HLOOKUP(H$1,[1]Sheet!$B$1:$AI$1754,89,0),"ESTOQUE")</f>
        <v>0</v>
      </c>
      <c r="I89" s="5" t="str" cm="1">
        <f t="array" ref="I89">code128(B89)</f>
        <v>Ì01Î</v>
      </c>
    </row>
    <row r="90" spans="1:9" x14ac:dyDescent="0.3">
      <c r="A90" s="4">
        <f>[1]Sheet!A90</f>
        <v>0</v>
      </c>
      <c r="B90" s="9">
        <f>HLOOKUP(B$1,[1]Sheet!$B$1:$AI$1754,90,0)</f>
        <v>0</v>
      </c>
      <c r="C90" s="9">
        <f>HLOOKUP(C$1,[1]Sheet!$B$1:$AI$1754,90,0)</f>
        <v>0</v>
      </c>
      <c r="D90" s="8">
        <f>HLOOKUP(D$1,[1]Sheet!$B$1:$AI$1754,90,0)</f>
        <v>0</v>
      </c>
      <c r="E90" s="8">
        <f>HLOOKUP(E$1,[1]Sheet!$B$1:$AI$1754,90,0)</f>
        <v>0</v>
      </c>
      <c r="F90" s="10">
        <f>HLOOKUP(F$1,[1]Sheet!$B$1:$AI$1754,90,0)</f>
        <v>0</v>
      </c>
      <c r="G90" s="8">
        <f>HLOOKUP(G$1,[1]Sheet!$B$1:$AI$1754,90,0)</f>
        <v>0</v>
      </c>
      <c r="H90" s="13">
        <f>IF(HLOOKUP(H$1,[1]Sheet!$B$1:$AI$1754,90,0)&lt;&gt;"999",HLOOKUP(H$1,[1]Sheet!$B$1:$AI$1754,90,0),"ESTOQUE")</f>
        <v>0</v>
      </c>
      <c r="I90" s="5" t="str" cm="1">
        <f t="array" ref="I90">code128(B90)</f>
        <v>Ì01Î</v>
      </c>
    </row>
    <row r="91" spans="1:9" x14ac:dyDescent="0.3">
      <c r="A91" s="4">
        <f>[1]Sheet!A91</f>
        <v>0</v>
      </c>
      <c r="B91" s="9">
        <f>HLOOKUP(B$1,[1]Sheet!$B$1:$AI$1754,91,0)</f>
        <v>0</v>
      </c>
      <c r="C91" s="9">
        <f>HLOOKUP(C$1,[1]Sheet!$B$1:$AI$1754,91,0)</f>
        <v>0</v>
      </c>
      <c r="D91" s="8">
        <f>HLOOKUP(D$1,[1]Sheet!$B$1:$AI$1754,91,0)</f>
        <v>0</v>
      </c>
      <c r="E91" s="8">
        <f>HLOOKUP(E$1,[1]Sheet!$B$1:$AI$1754,91,0)</f>
        <v>0</v>
      </c>
      <c r="F91" s="10">
        <f>HLOOKUP(F$1,[1]Sheet!$B$1:$AI$1754,91,0)</f>
        <v>0</v>
      </c>
      <c r="G91" s="8">
        <f>HLOOKUP(G$1,[1]Sheet!$B$1:$AI$1754,91,0)</f>
        <v>0</v>
      </c>
      <c r="H91" s="13">
        <f>IF(HLOOKUP(H$1,[1]Sheet!$B$1:$AI$1754,91,0)&lt;&gt;"999",HLOOKUP(H$1,[1]Sheet!$B$1:$AI$1754,91,0),"ESTOQUE")</f>
        <v>0</v>
      </c>
      <c r="I91" s="5" t="str" cm="1">
        <f t="array" ref="I91">code128(B91)</f>
        <v>Ì01Î</v>
      </c>
    </row>
    <row r="92" spans="1:9" x14ac:dyDescent="0.3">
      <c r="A92" s="4">
        <f>[1]Sheet!A92</f>
        <v>0</v>
      </c>
      <c r="B92" s="9">
        <f>HLOOKUP(B$1,[1]Sheet!$B$1:$AI$1754,92,0)</f>
        <v>0</v>
      </c>
      <c r="C92" s="9">
        <f>HLOOKUP(C$1,[1]Sheet!$B$1:$AI$1754,92,0)</f>
        <v>0</v>
      </c>
      <c r="D92" s="8">
        <f>HLOOKUP(D$1,[1]Sheet!$B$1:$AI$1754,92,0)</f>
        <v>0</v>
      </c>
      <c r="E92" s="8">
        <f>HLOOKUP(E$1,[1]Sheet!$B$1:$AI$1754,92,0)</f>
        <v>0</v>
      </c>
      <c r="F92" s="10">
        <f>HLOOKUP(F$1,[1]Sheet!$B$1:$AI$1754,92,0)</f>
        <v>0</v>
      </c>
      <c r="G92" s="8">
        <f>HLOOKUP(G$1,[1]Sheet!$B$1:$AI$1754,92,0)</f>
        <v>0</v>
      </c>
      <c r="H92" s="13">
        <f>IF(HLOOKUP(H$1,[1]Sheet!$B$1:$AI$1754,92,0)&lt;&gt;"999",HLOOKUP(H$1,[1]Sheet!$B$1:$AI$1754,92,0),"ESTOQUE")</f>
        <v>0</v>
      </c>
      <c r="I92" s="5" t="str" cm="1">
        <f t="array" ref="I92">code128(B92)</f>
        <v>Ì01Î</v>
      </c>
    </row>
    <row r="93" spans="1:9" x14ac:dyDescent="0.3">
      <c r="A93" s="4">
        <f>[1]Sheet!A93</f>
        <v>0</v>
      </c>
      <c r="B93" s="9">
        <f>HLOOKUP(B$1,[1]Sheet!$B$1:$AI$1754,93,0)</f>
        <v>0</v>
      </c>
      <c r="C93" s="9">
        <f>HLOOKUP(C$1,[1]Sheet!$B$1:$AI$1754,93,0)</f>
        <v>0</v>
      </c>
      <c r="D93" s="8">
        <f>HLOOKUP(D$1,[1]Sheet!$B$1:$AI$1754,93,0)</f>
        <v>0</v>
      </c>
      <c r="E93" s="8">
        <f>HLOOKUP(E$1,[1]Sheet!$B$1:$AI$1754,93,0)</f>
        <v>0</v>
      </c>
      <c r="F93" s="10">
        <f>HLOOKUP(F$1,[1]Sheet!$B$1:$AI$1754,93,0)</f>
        <v>0</v>
      </c>
      <c r="G93" s="8">
        <f>HLOOKUP(G$1,[1]Sheet!$B$1:$AI$1754,93,0)</f>
        <v>0</v>
      </c>
      <c r="H93" s="13">
        <f>IF(HLOOKUP(H$1,[1]Sheet!$B$1:$AI$1754,93,0)&lt;&gt;"999",HLOOKUP(H$1,[1]Sheet!$B$1:$AI$1754,93,0),"ESTOQUE")</f>
        <v>0</v>
      </c>
      <c r="I93" s="5" t="str" cm="1">
        <f t="array" ref="I93">code128(B93)</f>
        <v>Ì01Î</v>
      </c>
    </row>
    <row r="94" spans="1:9" x14ac:dyDescent="0.3">
      <c r="A94" s="4">
        <f>[1]Sheet!A94</f>
        <v>0</v>
      </c>
      <c r="B94" s="9">
        <f>HLOOKUP(B$1,[1]Sheet!$B$1:$AI$1754,94,0)</f>
        <v>0</v>
      </c>
      <c r="C94" s="9">
        <f>HLOOKUP(C$1,[1]Sheet!$B$1:$AI$1754,94,0)</f>
        <v>0</v>
      </c>
      <c r="D94" s="8">
        <f>HLOOKUP(D$1,[1]Sheet!$B$1:$AI$1754,94,0)</f>
        <v>0</v>
      </c>
      <c r="E94" s="8">
        <f>HLOOKUP(E$1,[1]Sheet!$B$1:$AI$1754,94,0)</f>
        <v>0</v>
      </c>
      <c r="F94" s="10">
        <f>HLOOKUP(F$1,[1]Sheet!$B$1:$AI$1754,94,0)</f>
        <v>0</v>
      </c>
      <c r="G94" s="8">
        <f>HLOOKUP(G$1,[1]Sheet!$B$1:$AI$1754,94,0)</f>
        <v>0</v>
      </c>
      <c r="H94" s="13">
        <f>IF(HLOOKUP(H$1,[1]Sheet!$B$1:$AI$1754,94,0)&lt;&gt;"999",HLOOKUP(H$1,[1]Sheet!$B$1:$AI$1754,94,0),"ESTOQUE")</f>
        <v>0</v>
      </c>
      <c r="I94" s="5" t="str" cm="1">
        <f t="array" ref="I94">code128(B94)</f>
        <v>Ì01Î</v>
      </c>
    </row>
    <row r="95" spans="1:9" x14ac:dyDescent="0.3">
      <c r="A95" s="4">
        <f>[1]Sheet!A95</f>
        <v>0</v>
      </c>
      <c r="B95" s="9">
        <f>HLOOKUP(B$1,[1]Sheet!$B$1:$AI$1754,95,0)</f>
        <v>0</v>
      </c>
      <c r="C95" s="9">
        <f>HLOOKUP(C$1,[1]Sheet!$B$1:$AI$1754,95,0)</f>
        <v>0</v>
      </c>
      <c r="D95" s="8">
        <f>HLOOKUP(D$1,[1]Sheet!$B$1:$AI$1754,95,0)</f>
        <v>0</v>
      </c>
      <c r="E95" s="8">
        <f>HLOOKUP(E$1,[1]Sheet!$B$1:$AI$1754,95,0)</f>
        <v>0</v>
      </c>
      <c r="F95" s="10">
        <f>HLOOKUP(F$1,[1]Sheet!$B$1:$AI$1754,95,0)</f>
        <v>0</v>
      </c>
      <c r="G95" s="8">
        <f>HLOOKUP(G$1,[1]Sheet!$B$1:$AI$1754,95,0)</f>
        <v>0</v>
      </c>
      <c r="H95" s="13">
        <f>IF(HLOOKUP(H$1,[1]Sheet!$B$1:$AI$1754,95,0)&lt;&gt;"999",HLOOKUP(H$1,[1]Sheet!$B$1:$AI$1754,95,0),"ESTOQUE")</f>
        <v>0</v>
      </c>
      <c r="I95" s="5" t="str" cm="1">
        <f t="array" ref="I95">code128(B95)</f>
        <v>Ì01Î</v>
      </c>
    </row>
    <row r="96" spans="1:9" x14ac:dyDescent="0.3">
      <c r="A96" s="4">
        <f>[1]Sheet!A96</f>
        <v>0</v>
      </c>
      <c r="B96" s="9">
        <f>HLOOKUP(B$1,[1]Sheet!$B$1:$AI$1754,96,0)</f>
        <v>0</v>
      </c>
      <c r="C96" s="9">
        <f>HLOOKUP(C$1,[1]Sheet!$B$1:$AI$1754,96,0)</f>
        <v>0</v>
      </c>
      <c r="D96" s="8">
        <f>HLOOKUP(D$1,[1]Sheet!$B$1:$AI$1754,96,0)</f>
        <v>0</v>
      </c>
      <c r="E96" s="8">
        <f>HLOOKUP(E$1,[1]Sheet!$B$1:$AI$1754,96,0)</f>
        <v>0</v>
      </c>
      <c r="F96" s="10">
        <f>HLOOKUP(F$1,[1]Sheet!$B$1:$AI$1754,96,0)</f>
        <v>0</v>
      </c>
      <c r="G96" s="8">
        <f>HLOOKUP(G$1,[1]Sheet!$B$1:$AI$1754,96,0)</f>
        <v>0</v>
      </c>
      <c r="H96" s="13">
        <f>IF(HLOOKUP(H$1,[1]Sheet!$B$1:$AI$1754,96,0)&lt;&gt;"999",HLOOKUP(H$1,[1]Sheet!$B$1:$AI$1754,96,0),"ESTOQUE")</f>
        <v>0</v>
      </c>
      <c r="I96" s="5" t="str" cm="1">
        <f t="array" ref="I96">code128(B96)</f>
        <v>Ì01Î</v>
      </c>
    </row>
    <row r="97" spans="1:9" x14ac:dyDescent="0.3">
      <c r="A97" s="4">
        <f>[1]Sheet!A97</f>
        <v>0</v>
      </c>
      <c r="B97" s="9">
        <f>HLOOKUP(B$1,[1]Sheet!$B$1:$AI$1754,97,0)</f>
        <v>0</v>
      </c>
      <c r="C97" s="9">
        <f>HLOOKUP(C$1,[1]Sheet!$B$1:$AI$1754,97,0)</f>
        <v>0</v>
      </c>
      <c r="D97" s="8">
        <f>HLOOKUP(D$1,[1]Sheet!$B$1:$AI$1754,97,0)</f>
        <v>0</v>
      </c>
      <c r="E97" s="8">
        <f>HLOOKUP(E$1,[1]Sheet!$B$1:$AI$1754,97,0)</f>
        <v>0</v>
      </c>
      <c r="F97" s="10">
        <f>HLOOKUP(F$1,[1]Sheet!$B$1:$AI$1754,97,0)</f>
        <v>0</v>
      </c>
      <c r="G97" s="8">
        <f>HLOOKUP(G$1,[1]Sheet!$B$1:$AI$1754,97,0)</f>
        <v>0</v>
      </c>
      <c r="H97" s="13">
        <f>IF(HLOOKUP(H$1,[1]Sheet!$B$1:$AI$1754,97,0)&lt;&gt;"999",HLOOKUP(H$1,[1]Sheet!$B$1:$AI$1754,97,0),"ESTOQUE")</f>
        <v>0</v>
      </c>
      <c r="I97" s="5" t="str" cm="1">
        <f t="array" ref="I97">code128(B97)</f>
        <v>Ì01Î</v>
      </c>
    </row>
    <row r="98" spans="1:9" x14ac:dyDescent="0.3">
      <c r="A98" s="4">
        <f>[1]Sheet!A98</f>
        <v>0</v>
      </c>
      <c r="B98" s="9">
        <f>HLOOKUP(B$1,[1]Sheet!$B$1:$AI$1754,98,0)</f>
        <v>0</v>
      </c>
      <c r="C98" s="9">
        <f>HLOOKUP(C$1,[1]Sheet!$B$1:$AI$1754,98,0)</f>
        <v>0</v>
      </c>
      <c r="D98" s="8">
        <f>HLOOKUP(D$1,[1]Sheet!$B$1:$AI$1754,98,0)</f>
        <v>0</v>
      </c>
      <c r="E98" s="8">
        <f>HLOOKUP(E$1,[1]Sheet!$B$1:$AI$1754,98,0)</f>
        <v>0</v>
      </c>
      <c r="F98" s="10">
        <f>HLOOKUP(F$1,[1]Sheet!$B$1:$AI$1754,98,0)</f>
        <v>0</v>
      </c>
      <c r="G98" s="8">
        <f>HLOOKUP(G$1,[1]Sheet!$B$1:$AI$1754,98,0)</f>
        <v>0</v>
      </c>
      <c r="H98" s="13">
        <f>IF(HLOOKUP(H$1,[1]Sheet!$B$1:$AI$1754,98,0)&lt;&gt;"999",HLOOKUP(H$1,[1]Sheet!$B$1:$AI$1754,98,0),"ESTOQUE")</f>
        <v>0</v>
      </c>
      <c r="I98" s="5" t="str" cm="1">
        <f t="array" ref="I98">code128(B98)</f>
        <v>Ì01Î</v>
      </c>
    </row>
    <row r="99" spans="1:9" x14ac:dyDescent="0.3">
      <c r="A99" s="4">
        <f>[1]Sheet!A99</f>
        <v>0</v>
      </c>
      <c r="B99" s="9">
        <f>HLOOKUP(B$1,[1]Sheet!$B$1:$AI$1754,99,0)</f>
        <v>0</v>
      </c>
      <c r="C99" s="9">
        <f>HLOOKUP(C$1,[1]Sheet!$B$1:$AI$1754,99,0)</f>
        <v>0</v>
      </c>
      <c r="D99" s="8">
        <f>HLOOKUP(D$1,[1]Sheet!$B$1:$AI$1754,99,0)</f>
        <v>0</v>
      </c>
      <c r="E99" s="8">
        <f>HLOOKUP(E$1,[1]Sheet!$B$1:$AI$1754,99,0)</f>
        <v>0</v>
      </c>
      <c r="F99" s="10">
        <f>HLOOKUP(F$1,[1]Sheet!$B$1:$AI$1754,99,0)</f>
        <v>0</v>
      </c>
      <c r="G99" s="8">
        <f>HLOOKUP(G$1,[1]Sheet!$B$1:$AI$1754,99,0)</f>
        <v>0</v>
      </c>
      <c r="H99" s="13">
        <f>IF(HLOOKUP(H$1,[1]Sheet!$B$1:$AI$1754,99,0)&lt;&gt;"999",HLOOKUP(H$1,[1]Sheet!$B$1:$AI$1754,99,0),"ESTOQUE")</f>
        <v>0</v>
      </c>
      <c r="I99" s="5" t="str" cm="1">
        <f t="array" ref="I99">code128(B99)</f>
        <v>Ì01Î</v>
      </c>
    </row>
    <row r="100" spans="1:9" x14ac:dyDescent="0.3">
      <c r="A100" s="4">
        <f>[1]Sheet!A100</f>
        <v>0</v>
      </c>
      <c r="B100" s="9">
        <f>HLOOKUP(B$1,[1]Sheet!$B$1:$AI$1754,100,0)</f>
        <v>0</v>
      </c>
      <c r="C100" s="9">
        <f>HLOOKUP(C$1,[1]Sheet!$B$1:$AI$1754,100,0)</f>
        <v>0</v>
      </c>
      <c r="D100" s="8">
        <f>HLOOKUP(D$1,[1]Sheet!$B$1:$AI$1754,100,0)</f>
        <v>0</v>
      </c>
      <c r="E100" s="8">
        <f>HLOOKUP(E$1,[1]Sheet!$B$1:$AI$1754,100,0)</f>
        <v>0</v>
      </c>
      <c r="F100" s="10">
        <f>HLOOKUP(F$1,[1]Sheet!$B$1:$AI$1754,100,0)</f>
        <v>0</v>
      </c>
      <c r="G100" s="8">
        <f>HLOOKUP(G$1,[1]Sheet!$B$1:$AI$1754,100,0)</f>
        <v>0</v>
      </c>
      <c r="H100" s="13">
        <f>IF(HLOOKUP(H$1,[1]Sheet!$B$1:$AI$1754,100,0)&lt;&gt;"999",HLOOKUP(H$1,[1]Sheet!$B$1:$AI$1754,100,0),"ESTOQUE")</f>
        <v>0</v>
      </c>
      <c r="I100" s="5" t="str" cm="1">
        <f t="array" ref="I100">code128(B100)</f>
        <v>Ì01Î</v>
      </c>
    </row>
    <row r="101" spans="1:9" x14ac:dyDescent="0.3">
      <c r="A101" s="4">
        <f>[1]Sheet!A101</f>
        <v>0</v>
      </c>
      <c r="B101" s="9">
        <f>HLOOKUP(B$1,[1]Sheet!$B$1:$AI$1754,101,0)</f>
        <v>0</v>
      </c>
      <c r="C101" s="9">
        <f>HLOOKUP(C$1,[1]Sheet!$B$1:$AI$1754,101,0)</f>
        <v>0</v>
      </c>
      <c r="D101" s="8">
        <f>HLOOKUP(D$1,[1]Sheet!$B$1:$AI$1754,101,0)</f>
        <v>0</v>
      </c>
      <c r="E101" s="8">
        <f>HLOOKUP(E$1,[1]Sheet!$B$1:$AI$1754,101,0)</f>
        <v>0</v>
      </c>
      <c r="F101" s="10">
        <f>HLOOKUP(F$1,[1]Sheet!$B$1:$AI$1754,101,0)</f>
        <v>0</v>
      </c>
      <c r="G101" s="8">
        <f>HLOOKUP(G$1,[1]Sheet!$B$1:$AI$1754,101,0)</f>
        <v>0</v>
      </c>
      <c r="H101" s="13">
        <f>IF(HLOOKUP(H$1,[1]Sheet!$B$1:$AI$1754,101,0)&lt;&gt;"999",HLOOKUP(H$1,[1]Sheet!$B$1:$AI$1754,101,0),"ESTOQUE")</f>
        <v>0</v>
      </c>
      <c r="I101" s="5" t="str" cm="1">
        <f t="array" ref="I101">code128(B101)</f>
        <v>Ì01Î</v>
      </c>
    </row>
    <row r="102" spans="1:9" x14ac:dyDescent="0.3">
      <c r="A102" s="4">
        <f>[1]Sheet!A102</f>
        <v>0</v>
      </c>
      <c r="B102" s="9">
        <f>HLOOKUP(B$1,[1]Sheet!$B$1:$AI$1754,102,0)</f>
        <v>0</v>
      </c>
      <c r="C102" s="9">
        <f>HLOOKUP(C$1,[1]Sheet!$B$1:$AI$1754,102,0)</f>
        <v>0</v>
      </c>
      <c r="D102" s="8">
        <f>HLOOKUP(D$1,[1]Sheet!$B$1:$AI$1754,102,0)</f>
        <v>0</v>
      </c>
      <c r="E102" s="8">
        <f>HLOOKUP(E$1,[1]Sheet!$B$1:$AI$1754,102,0)</f>
        <v>0</v>
      </c>
      <c r="F102" s="10">
        <f>HLOOKUP(F$1,[1]Sheet!$B$1:$AI$1754,102,0)</f>
        <v>0</v>
      </c>
      <c r="G102" s="8">
        <f>HLOOKUP(G$1,[1]Sheet!$B$1:$AI$1754,102,0)</f>
        <v>0</v>
      </c>
      <c r="H102" s="13">
        <f>IF(HLOOKUP(H$1,[1]Sheet!$B$1:$AI$1754,102,0)&lt;&gt;"999",HLOOKUP(H$1,[1]Sheet!$B$1:$AI$1754,102,0),"ESTOQUE")</f>
        <v>0</v>
      </c>
      <c r="I102" s="5" t="str" cm="1">
        <f t="array" ref="I102">code128(B102)</f>
        <v>Ì01Î</v>
      </c>
    </row>
    <row r="103" spans="1:9" x14ac:dyDescent="0.3">
      <c r="A103" s="4">
        <f>[1]Sheet!A103</f>
        <v>0</v>
      </c>
      <c r="B103" s="9">
        <f>HLOOKUP(B$1,[1]Sheet!$B$1:$AI$1754,103,0)</f>
        <v>0</v>
      </c>
      <c r="C103" s="9">
        <f>HLOOKUP(C$1,[1]Sheet!$B$1:$AI$1754,103,0)</f>
        <v>0</v>
      </c>
      <c r="D103" s="8">
        <f>HLOOKUP(D$1,[1]Sheet!$B$1:$AI$1754,103,0)</f>
        <v>0</v>
      </c>
      <c r="E103" s="8">
        <f>HLOOKUP(E$1,[1]Sheet!$B$1:$AI$1754,103,0)</f>
        <v>0</v>
      </c>
      <c r="F103" s="10">
        <f>HLOOKUP(F$1,[1]Sheet!$B$1:$AI$1754,103,0)</f>
        <v>0</v>
      </c>
      <c r="G103" s="8">
        <f>HLOOKUP(G$1,[1]Sheet!$B$1:$AI$1754,103,0)</f>
        <v>0</v>
      </c>
      <c r="H103" s="13">
        <f>IF(HLOOKUP(H$1,[1]Sheet!$B$1:$AI$1754,103,0)&lt;&gt;"999",HLOOKUP(H$1,[1]Sheet!$B$1:$AI$1754,103,0),"ESTOQUE")</f>
        <v>0</v>
      </c>
      <c r="I103" s="5" t="str" cm="1">
        <f t="array" ref="I103">code128(B103)</f>
        <v>Ì01Î</v>
      </c>
    </row>
    <row r="104" spans="1:9" x14ac:dyDescent="0.3">
      <c r="A104" s="4">
        <f>[1]Sheet!A104</f>
        <v>0</v>
      </c>
      <c r="B104" s="9">
        <f>HLOOKUP(B$1,[1]Sheet!$B$1:$AI$1754,104,0)</f>
        <v>0</v>
      </c>
      <c r="C104" s="9">
        <f>HLOOKUP(C$1,[1]Sheet!$B$1:$AI$1754,104,0)</f>
        <v>0</v>
      </c>
      <c r="D104" s="8">
        <f>HLOOKUP(D$1,[1]Sheet!$B$1:$AI$1754,104,0)</f>
        <v>0</v>
      </c>
      <c r="E104" s="8">
        <f>HLOOKUP(E$1,[1]Sheet!$B$1:$AI$1754,104,0)</f>
        <v>0</v>
      </c>
      <c r="F104" s="10">
        <f>HLOOKUP(F$1,[1]Sheet!$B$1:$AI$1754,104,0)</f>
        <v>0</v>
      </c>
      <c r="G104" s="8">
        <f>HLOOKUP(G$1,[1]Sheet!$B$1:$AI$1754,104,0)</f>
        <v>0</v>
      </c>
      <c r="H104" s="13">
        <f>IF(HLOOKUP(H$1,[1]Sheet!$B$1:$AI$1754,104,0)&lt;&gt;"999",HLOOKUP(H$1,[1]Sheet!$B$1:$AI$1754,104,0),"ESTOQUE")</f>
        <v>0</v>
      </c>
      <c r="I104" s="5" t="str" cm="1">
        <f t="array" ref="I104">code128(B104)</f>
        <v>Ì01Î</v>
      </c>
    </row>
    <row r="105" spans="1:9" x14ac:dyDescent="0.3">
      <c r="A105" s="4">
        <f>[1]Sheet!A105</f>
        <v>0</v>
      </c>
      <c r="B105" s="9">
        <f>HLOOKUP(B$1,[1]Sheet!$B$1:$AI$1754,105,0)</f>
        <v>0</v>
      </c>
      <c r="C105" s="9">
        <f>HLOOKUP(C$1,[1]Sheet!$B$1:$AI$1754,105,0)</f>
        <v>0</v>
      </c>
      <c r="D105" s="8">
        <f>HLOOKUP(D$1,[1]Sheet!$B$1:$AI$1754,105,0)</f>
        <v>0</v>
      </c>
      <c r="E105" s="8">
        <f>HLOOKUP(E$1,[1]Sheet!$B$1:$AI$1754,105,0)</f>
        <v>0</v>
      </c>
      <c r="F105" s="10">
        <f>HLOOKUP(F$1,[1]Sheet!$B$1:$AI$1754,105,0)</f>
        <v>0</v>
      </c>
      <c r="G105" s="8">
        <f>HLOOKUP(G$1,[1]Sheet!$B$1:$AI$1754,105,0)</f>
        <v>0</v>
      </c>
      <c r="H105" s="13">
        <f>IF(HLOOKUP(H$1,[1]Sheet!$B$1:$AI$1754,105,0)&lt;&gt;"999",HLOOKUP(H$1,[1]Sheet!$B$1:$AI$1754,105,0),"ESTOQUE")</f>
        <v>0</v>
      </c>
      <c r="I105" s="5" t="str" cm="1">
        <f t="array" ref="I105">code128(B105)</f>
        <v>Ì01Î</v>
      </c>
    </row>
    <row r="106" spans="1:9" x14ac:dyDescent="0.3">
      <c r="A106" s="4">
        <f>[1]Sheet!A106</f>
        <v>0</v>
      </c>
      <c r="B106" s="9">
        <f>HLOOKUP(B$1,[1]Sheet!$B$1:$AI$1754,106,0)</f>
        <v>0</v>
      </c>
      <c r="C106" s="9">
        <f>HLOOKUP(C$1,[1]Sheet!$B$1:$AI$1754,106,0)</f>
        <v>0</v>
      </c>
      <c r="D106" s="8">
        <f>HLOOKUP(D$1,[1]Sheet!$B$1:$AI$1754,106,0)</f>
        <v>0</v>
      </c>
      <c r="E106" s="8">
        <f>HLOOKUP(E$1,[1]Sheet!$B$1:$AI$1754,106,0)</f>
        <v>0</v>
      </c>
      <c r="F106" s="10">
        <f>HLOOKUP(F$1,[1]Sheet!$B$1:$AI$1754,106,0)</f>
        <v>0</v>
      </c>
      <c r="G106" s="8">
        <f>HLOOKUP(G$1,[1]Sheet!$B$1:$AI$1754,106,0)</f>
        <v>0</v>
      </c>
      <c r="H106" s="13">
        <f>IF(HLOOKUP(H$1,[1]Sheet!$B$1:$AI$1754,106,0)&lt;&gt;"999",HLOOKUP(H$1,[1]Sheet!$B$1:$AI$1754,106,0),"ESTOQUE")</f>
        <v>0</v>
      </c>
      <c r="I106" s="5" t="str" cm="1">
        <f t="array" ref="I106">code128(B106)</f>
        <v>Ì01Î</v>
      </c>
    </row>
    <row r="107" spans="1:9" x14ac:dyDescent="0.3">
      <c r="A107" s="4">
        <f>[1]Sheet!A107</f>
        <v>0</v>
      </c>
      <c r="B107" s="9">
        <f>HLOOKUP(B$1,[1]Sheet!$B$1:$AI$1754,107,0)</f>
        <v>0</v>
      </c>
      <c r="C107" s="9">
        <f>HLOOKUP(C$1,[1]Sheet!$B$1:$AI$1754,107,0)</f>
        <v>0</v>
      </c>
      <c r="D107" s="8">
        <f>HLOOKUP(D$1,[1]Sheet!$B$1:$AI$1754,107,0)</f>
        <v>0</v>
      </c>
      <c r="E107" s="8">
        <f>HLOOKUP(E$1,[1]Sheet!$B$1:$AI$1754,107,0)</f>
        <v>0</v>
      </c>
      <c r="F107" s="10">
        <f>HLOOKUP(F$1,[1]Sheet!$B$1:$AI$1754,107,0)</f>
        <v>0</v>
      </c>
      <c r="G107" s="8">
        <f>HLOOKUP(G$1,[1]Sheet!$B$1:$AI$1754,107,0)</f>
        <v>0</v>
      </c>
      <c r="H107" s="13">
        <f>IF(HLOOKUP(H$1,[1]Sheet!$B$1:$AI$1754,107,0)&lt;&gt;"999",HLOOKUP(H$1,[1]Sheet!$B$1:$AI$1754,107,0),"ESTOQUE")</f>
        <v>0</v>
      </c>
      <c r="I107" s="5" t="str" cm="1">
        <f t="array" ref="I107">code128(B107)</f>
        <v>Ì01Î</v>
      </c>
    </row>
    <row r="108" spans="1:9" x14ac:dyDescent="0.3">
      <c r="A108" s="4">
        <f>[1]Sheet!A108</f>
        <v>0</v>
      </c>
      <c r="B108" s="9">
        <f>HLOOKUP(B$1,[1]Sheet!$B$1:$AI$1754,108,0)</f>
        <v>0</v>
      </c>
      <c r="C108" s="9">
        <f>HLOOKUP(C$1,[1]Sheet!$B$1:$AI$1754,108,0)</f>
        <v>0</v>
      </c>
      <c r="D108" s="8">
        <f>HLOOKUP(D$1,[1]Sheet!$B$1:$AI$1754,108,0)</f>
        <v>0</v>
      </c>
      <c r="E108" s="8">
        <f>HLOOKUP(E$1,[1]Sheet!$B$1:$AI$1754,108,0)</f>
        <v>0</v>
      </c>
      <c r="F108" s="10">
        <f>HLOOKUP(F$1,[1]Sheet!$B$1:$AI$1754,108,0)</f>
        <v>0</v>
      </c>
      <c r="G108" s="8">
        <f>HLOOKUP(G$1,[1]Sheet!$B$1:$AI$1754,108,0)</f>
        <v>0</v>
      </c>
      <c r="H108" s="13">
        <f>IF(HLOOKUP(H$1,[1]Sheet!$B$1:$AI$1754,108,0)&lt;&gt;"999",HLOOKUP(H$1,[1]Sheet!$B$1:$AI$1754,108,0),"ESTOQUE")</f>
        <v>0</v>
      </c>
      <c r="I108" s="5" t="str" cm="1">
        <f t="array" ref="I108">code128(B108)</f>
        <v>Ì01Î</v>
      </c>
    </row>
    <row r="109" spans="1:9" x14ac:dyDescent="0.3">
      <c r="A109" s="4">
        <f>[1]Sheet!A109</f>
        <v>0</v>
      </c>
      <c r="B109" s="9">
        <f>HLOOKUP(B$1,[1]Sheet!$B$1:$AI$1754,109,0)</f>
        <v>0</v>
      </c>
      <c r="C109" s="9">
        <f>HLOOKUP(C$1,[1]Sheet!$B$1:$AI$1754,109,0)</f>
        <v>0</v>
      </c>
      <c r="D109" s="8">
        <f>HLOOKUP(D$1,[1]Sheet!$B$1:$AI$1754,109,0)</f>
        <v>0</v>
      </c>
      <c r="E109" s="8">
        <f>HLOOKUP(E$1,[1]Sheet!$B$1:$AI$1754,109,0)</f>
        <v>0</v>
      </c>
      <c r="F109" s="10">
        <f>HLOOKUP(F$1,[1]Sheet!$B$1:$AI$1754,109,0)</f>
        <v>0</v>
      </c>
      <c r="G109" s="8">
        <f>HLOOKUP(G$1,[1]Sheet!$B$1:$AI$1754,109,0)</f>
        <v>0</v>
      </c>
      <c r="H109" s="13">
        <f>IF(HLOOKUP(H$1,[1]Sheet!$B$1:$AI$1754,109,0)&lt;&gt;"999",HLOOKUP(H$1,[1]Sheet!$B$1:$AI$1754,109,0),"ESTOQUE")</f>
        <v>0</v>
      </c>
      <c r="I109" s="5" t="str" cm="1">
        <f t="array" ref="I109">code128(B109)</f>
        <v>Ì01Î</v>
      </c>
    </row>
    <row r="110" spans="1:9" x14ac:dyDescent="0.3">
      <c r="A110" s="4">
        <f>[1]Sheet!A110</f>
        <v>0</v>
      </c>
      <c r="B110" s="9">
        <f>HLOOKUP(B$1,[1]Sheet!$B$1:$AI$1754,110,0)</f>
        <v>0</v>
      </c>
      <c r="C110" s="9">
        <f>HLOOKUP(C$1,[1]Sheet!$B$1:$AI$1754,110,0)</f>
        <v>0</v>
      </c>
      <c r="D110" s="8">
        <f>HLOOKUP(D$1,[1]Sheet!$B$1:$AI$1754,110,0)</f>
        <v>0</v>
      </c>
      <c r="E110" s="8">
        <f>HLOOKUP(E$1,[1]Sheet!$B$1:$AI$1754,110,0)</f>
        <v>0</v>
      </c>
      <c r="F110" s="10">
        <f>HLOOKUP(F$1,[1]Sheet!$B$1:$AI$1754,110,0)</f>
        <v>0</v>
      </c>
      <c r="G110" s="8">
        <f>HLOOKUP(G$1,[1]Sheet!$B$1:$AI$1754,110,0)</f>
        <v>0</v>
      </c>
      <c r="H110" s="13">
        <f>IF(HLOOKUP(H$1,[1]Sheet!$B$1:$AI$1754,110,0)&lt;&gt;"999",HLOOKUP(H$1,[1]Sheet!$B$1:$AI$1754,110,0),"ESTOQUE")</f>
        <v>0</v>
      </c>
      <c r="I110" s="5" t="str" cm="1">
        <f t="array" ref="I110">code128(B110)</f>
        <v>Ì01Î</v>
      </c>
    </row>
    <row r="111" spans="1:9" x14ac:dyDescent="0.3">
      <c r="A111" s="4">
        <f>[1]Sheet!A111</f>
        <v>0</v>
      </c>
      <c r="B111" s="9">
        <f>HLOOKUP(B$1,[1]Sheet!$B$1:$AI$1754,111,0)</f>
        <v>0</v>
      </c>
      <c r="C111" s="9">
        <f>HLOOKUP(C$1,[1]Sheet!$B$1:$AI$1754,111,0)</f>
        <v>0</v>
      </c>
      <c r="D111" s="8">
        <f>HLOOKUP(D$1,[1]Sheet!$B$1:$AI$1754,111,0)</f>
        <v>0</v>
      </c>
      <c r="E111" s="8">
        <f>HLOOKUP(E$1,[1]Sheet!$B$1:$AI$1754,111,0)</f>
        <v>0</v>
      </c>
      <c r="F111" s="10">
        <f>HLOOKUP(F$1,[1]Sheet!$B$1:$AI$1754,111,0)</f>
        <v>0</v>
      </c>
      <c r="G111" s="8">
        <f>HLOOKUP(G$1,[1]Sheet!$B$1:$AI$1754,111,0)</f>
        <v>0</v>
      </c>
      <c r="H111" s="13">
        <f>IF(HLOOKUP(H$1,[1]Sheet!$B$1:$AI$1754,111,0)&lt;&gt;"999",HLOOKUP(H$1,[1]Sheet!$B$1:$AI$1754,111,0),"ESTOQUE")</f>
        <v>0</v>
      </c>
      <c r="I111" s="5" t="str" cm="1">
        <f t="array" ref="I111">code128(B111)</f>
        <v>Ì01Î</v>
      </c>
    </row>
    <row r="112" spans="1:9" x14ac:dyDescent="0.3">
      <c r="A112" s="4">
        <f>[1]Sheet!A112</f>
        <v>0</v>
      </c>
      <c r="B112" s="9">
        <f>HLOOKUP(B$1,[1]Sheet!$B$1:$AI$1754,112,0)</f>
        <v>0</v>
      </c>
      <c r="C112" s="9">
        <f>HLOOKUP(C$1,[1]Sheet!$B$1:$AI$1754,112,0)</f>
        <v>0</v>
      </c>
      <c r="D112" s="8">
        <f>HLOOKUP(D$1,[1]Sheet!$B$1:$AI$1754,112,0)</f>
        <v>0</v>
      </c>
      <c r="E112" s="8">
        <f>HLOOKUP(E$1,[1]Sheet!$B$1:$AI$1754,112,0)</f>
        <v>0</v>
      </c>
      <c r="F112" s="10">
        <f>HLOOKUP(F$1,[1]Sheet!$B$1:$AI$1754,112,0)</f>
        <v>0</v>
      </c>
      <c r="G112" s="8">
        <f>HLOOKUP(G$1,[1]Sheet!$B$1:$AI$1754,112,0)</f>
        <v>0</v>
      </c>
      <c r="H112" s="13">
        <f>IF(HLOOKUP(H$1,[1]Sheet!$B$1:$AI$1754,112,0)&lt;&gt;"999",HLOOKUP(H$1,[1]Sheet!$B$1:$AI$1754,112,0),"ESTOQUE")</f>
        <v>0</v>
      </c>
      <c r="I112" s="5" t="str" cm="1">
        <f t="array" ref="I112">code128(B112)</f>
        <v>Ì01Î</v>
      </c>
    </row>
    <row r="113" spans="1:9" x14ac:dyDescent="0.3">
      <c r="A113" s="4">
        <f>[1]Sheet!A113</f>
        <v>0</v>
      </c>
      <c r="B113" s="9">
        <f>HLOOKUP(B$1,[1]Sheet!$B$1:$AI$1754,113,0)</f>
        <v>0</v>
      </c>
      <c r="C113" s="9">
        <f>HLOOKUP(C$1,[1]Sheet!$B$1:$AI$1754,113,0)</f>
        <v>0</v>
      </c>
      <c r="D113" s="8">
        <f>HLOOKUP(D$1,[1]Sheet!$B$1:$AI$1754,113,0)</f>
        <v>0</v>
      </c>
      <c r="E113" s="8">
        <f>HLOOKUP(E$1,[1]Sheet!$B$1:$AI$1754,113,0)</f>
        <v>0</v>
      </c>
      <c r="F113" s="10">
        <f>HLOOKUP(F$1,[1]Sheet!$B$1:$AI$1754,113,0)</f>
        <v>0</v>
      </c>
      <c r="G113" s="8">
        <f>HLOOKUP(G$1,[1]Sheet!$B$1:$AI$1754,113,0)</f>
        <v>0</v>
      </c>
      <c r="H113" s="13">
        <f>IF(HLOOKUP(H$1,[1]Sheet!$B$1:$AI$1754,113,0)&lt;&gt;"999",HLOOKUP(H$1,[1]Sheet!$B$1:$AI$1754,113,0),"ESTOQUE")</f>
        <v>0</v>
      </c>
      <c r="I113" s="5" t="str" cm="1">
        <f t="array" ref="I113">code128(B113)</f>
        <v>Ì01Î</v>
      </c>
    </row>
    <row r="114" spans="1:9" x14ac:dyDescent="0.3">
      <c r="A114" s="4">
        <f>[1]Sheet!A114</f>
        <v>0</v>
      </c>
      <c r="B114" s="9">
        <f>HLOOKUP(B$1,[1]Sheet!$B$1:$AI$1754,114,0)</f>
        <v>0</v>
      </c>
      <c r="C114" s="9">
        <f>HLOOKUP(C$1,[1]Sheet!$B$1:$AI$1754,114,0)</f>
        <v>0</v>
      </c>
      <c r="D114" s="8">
        <f>HLOOKUP(D$1,[1]Sheet!$B$1:$AI$1754,114,0)</f>
        <v>0</v>
      </c>
      <c r="E114" s="8">
        <f>HLOOKUP(E$1,[1]Sheet!$B$1:$AI$1754,114,0)</f>
        <v>0</v>
      </c>
      <c r="F114" s="10">
        <f>HLOOKUP(F$1,[1]Sheet!$B$1:$AI$1754,114,0)</f>
        <v>0</v>
      </c>
      <c r="G114" s="8">
        <f>HLOOKUP(G$1,[1]Sheet!$B$1:$AI$1754,114,0)</f>
        <v>0</v>
      </c>
      <c r="H114" s="13">
        <f>IF(HLOOKUP(H$1,[1]Sheet!$B$1:$AI$1754,114,0)&lt;&gt;"999",HLOOKUP(H$1,[1]Sheet!$B$1:$AI$1754,114,0),"ESTOQUE")</f>
        <v>0</v>
      </c>
      <c r="I114" s="5" t="str" cm="1">
        <f t="array" ref="I114">code128(B114)</f>
        <v>Ì01Î</v>
      </c>
    </row>
    <row r="115" spans="1:9" x14ac:dyDescent="0.3">
      <c r="A115" s="4">
        <f>[1]Sheet!A115</f>
        <v>0</v>
      </c>
      <c r="B115" s="9">
        <f>HLOOKUP(B$1,[1]Sheet!$B$1:$AI$1754,115,0)</f>
        <v>0</v>
      </c>
      <c r="C115" s="9">
        <f>HLOOKUP(C$1,[1]Sheet!$B$1:$AI$1754,115,0)</f>
        <v>0</v>
      </c>
      <c r="D115" s="8">
        <f>HLOOKUP(D$1,[1]Sheet!$B$1:$AI$1754,115,0)</f>
        <v>0</v>
      </c>
      <c r="E115" s="8">
        <f>HLOOKUP(E$1,[1]Sheet!$B$1:$AI$1754,115,0)</f>
        <v>0</v>
      </c>
      <c r="F115" s="10">
        <f>HLOOKUP(F$1,[1]Sheet!$B$1:$AI$1754,115,0)</f>
        <v>0</v>
      </c>
      <c r="G115" s="8">
        <f>HLOOKUP(G$1,[1]Sheet!$B$1:$AI$1754,115,0)</f>
        <v>0</v>
      </c>
      <c r="H115" s="13">
        <f>IF(HLOOKUP(H$1,[1]Sheet!$B$1:$AI$1754,115,0)&lt;&gt;"999",HLOOKUP(H$1,[1]Sheet!$B$1:$AI$1754,115,0),"ESTOQUE")</f>
        <v>0</v>
      </c>
      <c r="I115" s="5" t="str" cm="1">
        <f t="array" ref="I115">code128(B115)</f>
        <v>Ì01Î</v>
      </c>
    </row>
    <row r="116" spans="1:9" x14ac:dyDescent="0.3">
      <c r="A116" s="4">
        <f>[1]Sheet!A116</f>
        <v>0</v>
      </c>
      <c r="B116" s="9">
        <f>HLOOKUP(B$1,[1]Sheet!$B$1:$AI$1754,116,0)</f>
        <v>0</v>
      </c>
      <c r="C116" s="9">
        <f>HLOOKUP(C$1,[1]Sheet!$B$1:$AI$1754,116,0)</f>
        <v>0</v>
      </c>
      <c r="D116" s="8">
        <f>HLOOKUP(D$1,[1]Sheet!$B$1:$AI$1754,116,0)</f>
        <v>0</v>
      </c>
      <c r="E116" s="8">
        <f>HLOOKUP(E$1,[1]Sheet!$B$1:$AI$1754,116,0)</f>
        <v>0</v>
      </c>
      <c r="F116" s="10">
        <f>HLOOKUP(F$1,[1]Sheet!$B$1:$AI$1754,116,0)</f>
        <v>0</v>
      </c>
      <c r="G116" s="8">
        <f>HLOOKUP(G$1,[1]Sheet!$B$1:$AI$1754,116,0)</f>
        <v>0</v>
      </c>
      <c r="H116" s="13">
        <f>IF(HLOOKUP(H$1,[1]Sheet!$B$1:$AI$1754,116,0)&lt;&gt;"999",HLOOKUP(H$1,[1]Sheet!$B$1:$AI$1754,116,0),"ESTOQUE")</f>
        <v>0</v>
      </c>
      <c r="I116" s="5" t="str" cm="1">
        <f t="array" ref="I116">code128(B116)</f>
        <v>Ì01Î</v>
      </c>
    </row>
    <row r="117" spans="1:9" x14ac:dyDescent="0.3">
      <c r="A117" s="4">
        <f>[1]Sheet!A117</f>
        <v>0</v>
      </c>
      <c r="B117" s="9">
        <f>HLOOKUP(B$1,[1]Sheet!$B$1:$AI$1754,117,0)</f>
        <v>0</v>
      </c>
      <c r="C117" s="9">
        <f>HLOOKUP(C$1,[1]Sheet!$B$1:$AI$1754,117,0)</f>
        <v>0</v>
      </c>
      <c r="D117" s="8">
        <f>HLOOKUP(D$1,[1]Sheet!$B$1:$AI$1754,117,0)</f>
        <v>0</v>
      </c>
      <c r="E117" s="8">
        <f>HLOOKUP(E$1,[1]Sheet!$B$1:$AI$1754,117,0)</f>
        <v>0</v>
      </c>
      <c r="F117" s="10">
        <f>HLOOKUP(F$1,[1]Sheet!$B$1:$AI$1754,117,0)</f>
        <v>0</v>
      </c>
      <c r="G117" s="8">
        <f>HLOOKUP(G$1,[1]Sheet!$B$1:$AI$1754,117,0)</f>
        <v>0</v>
      </c>
      <c r="H117" s="13">
        <f>IF(HLOOKUP(H$1,[1]Sheet!$B$1:$AI$1754,117,0)&lt;&gt;"999",HLOOKUP(H$1,[1]Sheet!$B$1:$AI$1754,117,0),"ESTOQUE")</f>
        <v>0</v>
      </c>
      <c r="I117" s="5" t="str" cm="1">
        <f t="array" ref="I117">code128(B117)</f>
        <v>Ì01Î</v>
      </c>
    </row>
    <row r="118" spans="1:9" x14ac:dyDescent="0.3">
      <c r="A118" s="4">
        <f>[1]Sheet!A118</f>
        <v>0</v>
      </c>
      <c r="B118" s="9">
        <f>HLOOKUP(B$1,[1]Sheet!$B$1:$AI$1754,118,0)</f>
        <v>0</v>
      </c>
      <c r="C118" s="9">
        <f>HLOOKUP(C$1,[1]Sheet!$B$1:$AI$1754,118,0)</f>
        <v>0</v>
      </c>
      <c r="D118" s="8">
        <f>HLOOKUP(D$1,[1]Sheet!$B$1:$AI$1754,118,0)</f>
        <v>0</v>
      </c>
      <c r="E118" s="8">
        <f>HLOOKUP(E$1,[1]Sheet!$B$1:$AI$1754,118,0)</f>
        <v>0</v>
      </c>
      <c r="F118" s="10">
        <f>HLOOKUP(F$1,[1]Sheet!$B$1:$AI$1754,118,0)</f>
        <v>0</v>
      </c>
      <c r="G118" s="8">
        <f>HLOOKUP(G$1,[1]Sheet!$B$1:$AI$1754,118,0)</f>
        <v>0</v>
      </c>
      <c r="H118" s="13">
        <f>IF(HLOOKUP(H$1,[1]Sheet!$B$1:$AI$1754,118,0)&lt;&gt;"999",HLOOKUP(H$1,[1]Sheet!$B$1:$AI$1754,118,0),"ESTOQUE")</f>
        <v>0</v>
      </c>
      <c r="I118" s="5" t="str" cm="1">
        <f t="array" ref="I118">code128(B118)</f>
        <v>Ì01Î</v>
      </c>
    </row>
    <row r="119" spans="1:9" x14ac:dyDescent="0.3">
      <c r="A119" s="4">
        <f>[1]Sheet!A119</f>
        <v>0</v>
      </c>
      <c r="B119" s="9">
        <f>HLOOKUP(B$1,[1]Sheet!$B$1:$AI$1754,119,0)</f>
        <v>0</v>
      </c>
      <c r="C119" s="9">
        <f>HLOOKUP(C$1,[1]Sheet!$B$1:$AI$1754,119,0)</f>
        <v>0</v>
      </c>
      <c r="D119" s="8">
        <f>HLOOKUP(D$1,[1]Sheet!$B$1:$AI$1754,119,0)</f>
        <v>0</v>
      </c>
      <c r="E119" s="8">
        <f>HLOOKUP(E$1,[1]Sheet!$B$1:$AI$1754,119,0)</f>
        <v>0</v>
      </c>
      <c r="F119" s="10">
        <f>HLOOKUP(F$1,[1]Sheet!$B$1:$AI$1754,119,0)</f>
        <v>0</v>
      </c>
      <c r="G119" s="8">
        <f>HLOOKUP(G$1,[1]Sheet!$B$1:$AI$1754,119,0)</f>
        <v>0</v>
      </c>
      <c r="H119" s="13">
        <f>IF(HLOOKUP(H$1,[1]Sheet!$B$1:$AI$1754,119,0)&lt;&gt;"999",HLOOKUP(H$1,[1]Sheet!$B$1:$AI$1754,119,0),"ESTOQUE")</f>
        <v>0</v>
      </c>
      <c r="I119" s="5" t="str" cm="1">
        <f t="array" ref="I119">code128(B119)</f>
        <v>Ì01Î</v>
      </c>
    </row>
    <row r="120" spans="1:9" x14ac:dyDescent="0.3">
      <c r="A120" s="4">
        <f>[1]Sheet!A120</f>
        <v>0</v>
      </c>
      <c r="B120" s="9">
        <f>HLOOKUP(B$1,[1]Sheet!$B$1:$AI$1754,120,0)</f>
        <v>0</v>
      </c>
      <c r="C120" s="9">
        <f>HLOOKUP(C$1,[1]Sheet!$B$1:$AI$1754,120,0)</f>
        <v>0</v>
      </c>
      <c r="D120" s="8">
        <f>HLOOKUP(D$1,[1]Sheet!$B$1:$AI$1754,120,0)</f>
        <v>0</v>
      </c>
      <c r="E120" s="8">
        <f>HLOOKUP(E$1,[1]Sheet!$B$1:$AI$1754,120,0)</f>
        <v>0</v>
      </c>
      <c r="F120" s="10">
        <f>HLOOKUP(F$1,[1]Sheet!$B$1:$AI$1754,120,0)</f>
        <v>0</v>
      </c>
      <c r="G120" s="8">
        <f>HLOOKUP(G$1,[1]Sheet!$B$1:$AI$1754,120,0)</f>
        <v>0</v>
      </c>
      <c r="H120" s="13">
        <f>IF(HLOOKUP(H$1,[1]Sheet!$B$1:$AI$1754,120,0)&lt;&gt;"999",HLOOKUP(H$1,[1]Sheet!$B$1:$AI$1754,120,0),"ESTOQUE")</f>
        <v>0</v>
      </c>
      <c r="I120" s="5" t="str" cm="1">
        <f t="array" ref="I120">code128(B120)</f>
        <v>Ì01Î</v>
      </c>
    </row>
    <row r="121" spans="1:9" x14ac:dyDescent="0.3">
      <c r="A121" s="4">
        <f>[1]Sheet!A121</f>
        <v>0</v>
      </c>
      <c r="B121" s="9">
        <f>HLOOKUP(B$1,[1]Sheet!$B$1:$AI$1754,121,0)</f>
        <v>0</v>
      </c>
      <c r="C121" s="9">
        <f>HLOOKUP(C$1,[1]Sheet!$B$1:$AI$1754,121,0)</f>
        <v>0</v>
      </c>
      <c r="D121" s="8">
        <f>HLOOKUP(D$1,[1]Sheet!$B$1:$AI$1754,121,0)</f>
        <v>0</v>
      </c>
      <c r="E121" s="8">
        <f>HLOOKUP(E$1,[1]Sheet!$B$1:$AI$1754,121,0)</f>
        <v>0</v>
      </c>
      <c r="F121" s="10">
        <f>HLOOKUP(F$1,[1]Sheet!$B$1:$AI$1754,121,0)</f>
        <v>0</v>
      </c>
      <c r="G121" s="8">
        <f>HLOOKUP(G$1,[1]Sheet!$B$1:$AI$1754,121,0)</f>
        <v>0</v>
      </c>
      <c r="H121" s="13">
        <f>IF(HLOOKUP(H$1,[1]Sheet!$B$1:$AI$1754,121,0)&lt;&gt;"999",HLOOKUP(H$1,[1]Sheet!$B$1:$AI$1754,121,0),"ESTOQUE")</f>
        <v>0</v>
      </c>
      <c r="I121" s="5" t="str" cm="1">
        <f t="array" ref="I121">code128(B121)</f>
        <v>Ì01Î</v>
      </c>
    </row>
    <row r="122" spans="1:9" x14ac:dyDescent="0.3">
      <c r="A122" s="4">
        <f>[1]Sheet!A122</f>
        <v>0</v>
      </c>
      <c r="B122" s="9">
        <f>HLOOKUP(B$1,[1]Sheet!$B$1:$AI$1754,122,0)</f>
        <v>0</v>
      </c>
      <c r="C122" s="9">
        <f>HLOOKUP(C$1,[1]Sheet!$B$1:$AI$1754,122,0)</f>
        <v>0</v>
      </c>
      <c r="D122" s="8">
        <f>HLOOKUP(D$1,[1]Sheet!$B$1:$AI$1754,122,0)</f>
        <v>0</v>
      </c>
      <c r="E122" s="8">
        <f>HLOOKUP(E$1,[1]Sheet!$B$1:$AI$1754,122,0)</f>
        <v>0</v>
      </c>
      <c r="F122" s="10">
        <f>HLOOKUP(F$1,[1]Sheet!$B$1:$AI$1754,122,0)</f>
        <v>0</v>
      </c>
      <c r="G122" s="8">
        <f>HLOOKUP(G$1,[1]Sheet!$B$1:$AI$1754,122,0)</f>
        <v>0</v>
      </c>
      <c r="H122" s="13">
        <f>IF(HLOOKUP(H$1,[1]Sheet!$B$1:$AI$1754,122,0)&lt;&gt;"999",HLOOKUP(H$1,[1]Sheet!$B$1:$AI$1754,122,0),"ESTOQUE")</f>
        <v>0</v>
      </c>
      <c r="I122" s="5" t="str" cm="1">
        <f t="array" ref="I122">code128(B122)</f>
        <v>Ì01Î</v>
      </c>
    </row>
    <row r="123" spans="1:9" x14ac:dyDescent="0.3">
      <c r="A123" s="4">
        <f>[1]Sheet!A123</f>
        <v>0</v>
      </c>
      <c r="B123" s="9">
        <f>HLOOKUP(B$1,[1]Sheet!$B$1:$AI$1754,123,0)</f>
        <v>0</v>
      </c>
      <c r="C123" s="9">
        <f>HLOOKUP(C$1,[1]Sheet!$B$1:$AI$1754,123,0)</f>
        <v>0</v>
      </c>
      <c r="D123" s="8">
        <f>HLOOKUP(D$1,[1]Sheet!$B$1:$AI$1754,123,0)</f>
        <v>0</v>
      </c>
      <c r="E123" s="8">
        <f>HLOOKUP(E$1,[1]Sheet!$B$1:$AI$1754,123,0)</f>
        <v>0</v>
      </c>
      <c r="F123" s="10">
        <f>HLOOKUP(F$1,[1]Sheet!$B$1:$AI$1754,123,0)</f>
        <v>0</v>
      </c>
      <c r="G123" s="8">
        <f>HLOOKUP(G$1,[1]Sheet!$B$1:$AI$1754,123,0)</f>
        <v>0</v>
      </c>
      <c r="H123" s="13">
        <f>IF(HLOOKUP(H$1,[1]Sheet!$B$1:$AI$1754,123,0)&lt;&gt;"999",HLOOKUP(H$1,[1]Sheet!$B$1:$AI$1754,123,0),"ESTOQUE")</f>
        <v>0</v>
      </c>
      <c r="I123" s="5" t="str" cm="1">
        <f t="array" ref="I123">code128(B123)</f>
        <v>Ì01Î</v>
      </c>
    </row>
    <row r="124" spans="1:9" x14ac:dyDescent="0.3">
      <c r="A124" s="4">
        <f>[1]Sheet!A124</f>
        <v>0</v>
      </c>
      <c r="B124" s="9">
        <f>HLOOKUP(B$1,[1]Sheet!$B$1:$AI$1754,124,0)</f>
        <v>0</v>
      </c>
      <c r="C124" s="9">
        <f>HLOOKUP(C$1,[1]Sheet!$B$1:$AI$1754,124,0)</f>
        <v>0</v>
      </c>
      <c r="D124" s="8">
        <f>HLOOKUP(D$1,[1]Sheet!$B$1:$AI$1754,124,0)</f>
        <v>0</v>
      </c>
      <c r="E124" s="8">
        <f>HLOOKUP(E$1,[1]Sheet!$B$1:$AI$1754,124,0)</f>
        <v>0</v>
      </c>
      <c r="F124" s="10">
        <f>HLOOKUP(F$1,[1]Sheet!$B$1:$AI$1754,124,0)</f>
        <v>0</v>
      </c>
      <c r="G124" s="8">
        <f>HLOOKUP(G$1,[1]Sheet!$B$1:$AI$1754,124,0)</f>
        <v>0</v>
      </c>
      <c r="H124" s="13">
        <f>IF(HLOOKUP(H$1,[1]Sheet!$B$1:$AI$1754,124,0)&lt;&gt;"999",HLOOKUP(H$1,[1]Sheet!$B$1:$AI$1754,124,0),"ESTOQUE")</f>
        <v>0</v>
      </c>
      <c r="I124" s="5" t="str" cm="1">
        <f t="array" ref="I124">code128(B124)</f>
        <v>Ì01Î</v>
      </c>
    </row>
    <row r="125" spans="1:9" x14ac:dyDescent="0.3">
      <c r="A125" s="4">
        <f>[1]Sheet!A125</f>
        <v>0</v>
      </c>
      <c r="B125" s="9">
        <f>HLOOKUP(B$1,[1]Sheet!$B$1:$AI$1754,125,0)</f>
        <v>0</v>
      </c>
      <c r="C125" s="9">
        <f>HLOOKUP(C$1,[1]Sheet!$B$1:$AI$1754,125,0)</f>
        <v>0</v>
      </c>
      <c r="D125" s="8">
        <f>HLOOKUP(D$1,[1]Sheet!$B$1:$AI$1754,125,0)</f>
        <v>0</v>
      </c>
      <c r="E125" s="8">
        <f>HLOOKUP(E$1,[1]Sheet!$B$1:$AI$1754,125,0)</f>
        <v>0</v>
      </c>
      <c r="F125" s="10">
        <f>HLOOKUP(F$1,[1]Sheet!$B$1:$AI$1754,125,0)</f>
        <v>0</v>
      </c>
      <c r="G125" s="8">
        <f>HLOOKUP(G$1,[1]Sheet!$B$1:$AI$1754,125,0)</f>
        <v>0</v>
      </c>
      <c r="H125" s="13">
        <f>IF(HLOOKUP(H$1,[1]Sheet!$B$1:$AI$1754,125,0)&lt;&gt;"999",HLOOKUP(H$1,[1]Sheet!$B$1:$AI$1754,125,0),"ESTOQUE")</f>
        <v>0</v>
      </c>
      <c r="I125" s="5" t="str" cm="1">
        <f t="array" ref="I125">code128(B125)</f>
        <v>Ì01Î</v>
      </c>
    </row>
    <row r="126" spans="1:9" x14ac:dyDescent="0.3">
      <c r="A126" s="4">
        <f>[1]Sheet!A126</f>
        <v>0</v>
      </c>
      <c r="B126" s="9">
        <f>HLOOKUP(B$1,[1]Sheet!$B$1:$AI$1754,126,0)</f>
        <v>0</v>
      </c>
      <c r="C126" s="9">
        <f>HLOOKUP(C$1,[1]Sheet!$B$1:$AI$1754,126,0)</f>
        <v>0</v>
      </c>
      <c r="D126" s="8">
        <f>HLOOKUP(D$1,[1]Sheet!$B$1:$AI$1754,126,0)</f>
        <v>0</v>
      </c>
      <c r="E126" s="8">
        <f>HLOOKUP(E$1,[1]Sheet!$B$1:$AI$1754,126,0)</f>
        <v>0</v>
      </c>
      <c r="F126" s="10">
        <f>HLOOKUP(F$1,[1]Sheet!$B$1:$AI$1754,126,0)</f>
        <v>0</v>
      </c>
      <c r="G126" s="8">
        <f>HLOOKUP(G$1,[1]Sheet!$B$1:$AI$1754,126,0)</f>
        <v>0</v>
      </c>
      <c r="H126" s="13">
        <f>IF(HLOOKUP(H$1,[1]Sheet!$B$1:$AI$1754,126,0)&lt;&gt;"999",HLOOKUP(H$1,[1]Sheet!$B$1:$AI$1754,126,0),"ESTOQUE")</f>
        <v>0</v>
      </c>
      <c r="I126" s="5" t="str" cm="1">
        <f t="array" ref="I126">code128(B126)</f>
        <v>Ì01Î</v>
      </c>
    </row>
    <row r="127" spans="1:9" x14ac:dyDescent="0.3">
      <c r="A127" s="4">
        <f>[1]Sheet!A127</f>
        <v>0</v>
      </c>
      <c r="B127" s="9">
        <f>HLOOKUP(B$1,[1]Sheet!$B$1:$AI$1754,127,0)</f>
        <v>0</v>
      </c>
      <c r="C127" s="9">
        <f>HLOOKUP(C$1,[1]Sheet!$B$1:$AI$1754,127,0)</f>
        <v>0</v>
      </c>
      <c r="D127" s="8">
        <f>HLOOKUP(D$1,[1]Sheet!$B$1:$AI$1754,127,0)</f>
        <v>0</v>
      </c>
      <c r="E127" s="8">
        <f>HLOOKUP(E$1,[1]Sheet!$B$1:$AI$1754,127,0)</f>
        <v>0</v>
      </c>
      <c r="F127" s="10">
        <f>HLOOKUP(F$1,[1]Sheet!$B$1:$AI$1754,127,0)</f>
        <v>0</v>
      </c>
      <c r="G127" s="8">
        <f>HLOOKUP(G$1,[1]Sheet!$B$1:$AI$1754,127,0)</f>
        <v>0</v>
      </c>
      <c r="H127" s="13">
        <f>IF(HLOOKUP(H$1,[1]Sheet!$B$1:$AI$1754,127,0)&lt;&gt;"999",HLOOKUP(H$1,[1]Sheet!$B$1:$AI$1754,127,0),"ESTOQUE")</f>
        <v>0</v>
      </c>
      <c r="I127" s="5" t="str" cm="1">
        <f t="array" ref="I127">code128(B127)</f>
        <v>Ì01Î</v>
      </c>
    </row>
    <row r="128" spans="1:9" x14ac:dyDescent="0.3">
      <c r="A128" s="4">
        <f>[1]Sheet!A128</f>
        <v>0</v>
      </c>
      <c r="B128" s="9">
        <f>HLOOKUP(B$1,[1]Sheet!$B$1:$AI$1754,128,0)</f>
        <v>0</v>
      </c>
      <c r="C128" s="9">
        <f>HLOOKUP(C$1,[1]Sheet!$B$1:$AI$1754,128,0)</f>
        <v>0</v>
      </c>
      <c r="D128" s="8">
        <f>HLOOKUP(D$1,[1]Sheet!$B$1:$AI$1754,128,0)</f>
        <v>0</v>
      </c>
      <c r="E128" s="8">
        <f>HLOOKUP(E$1,[1]Sheet!$B$1:$AI$1754,128,0)</f>
        <v>0</v>
      </c>
      <c r="F128" s="10">
        <f>HLOOKUP(F$1,[1]Sheet!$B$1:$AI$1754,128,0)</f>
        <v>0</v>
      </c>
      <c r="G128" s="8">
        <f>HLOOKUP(G$1,[1]Sheet!$B$1:$AI$1754,128,0)</f>
        <v>0</v>
      </c>
      <c r="H128" s="13">
        <f>IF(HLOOKUP(H$1,[1]Sheet!$B$1:$AI$1754,128,0)&lt;&gt;"999",HLOOKUP(H$1,[1]Sheet!$B$1:$AI$1754,128,0),"ESTOQUE")</f>
        <v>0</v>
      </c>
      <c r="I128" s="5" t="str" cm="1">
        <f t="array" ref="I128">code128(B128)</f>
        <v>Ì01Î</v>
      </c>
    </row>
    <row r="129" spans="1:9" x14ac:dyDescent="0.3">
      <c r="A129" s="4">
        <f>[1]Sheet!A129</f>
        <v>0</v>
      </c>
      <c r="B129" s="9">
        <f>HLOOKUP(B$1,[1]Sheet!$B$1:$AI$1754,129,0)</f>
        <v>0</v>
      </c>
      <c r="C129" s="9">
        <f>HLOOKUP(C$1,[1]Sheet!$B$1:$AI$1754,129,0)</f>
        <v>0</v>
      </c>
      <c r="D129" s="8">
        <f>HLOOKUP(D$1,[1]Sheet!$B$1:$AI$1754,129,0)</f>
        <v>0</v>
      </c>
      <c r="E129" s="8">
        <f>HLOOKUP(E$1,[1]Sheet!$B$1:$AI$1754,129,0)</f>
        <v>0</v>
      </c>
      <c r="F129" s="10">
        <f>HLOOKUP(F$1,[1]Sheet!$B$1:$AI$1754,129,0)</f>
        <v>0</v>
      </c>
      <c r="G129" s="8">
        <f>HLOOKUP(G$1,[1]Sheet!$B$1:$AI$1754,129,0)</f>
        <v>0</v>
      </c>
      <c r="H129" s="13">
        <f>IF(HLOOKUP(H$1,[1]Sheet!$B$1:$AI$1754,129,0)&lt;&gt;"999",HLOOKUP(H$1,[1]Sheet!$B$1:$AI$1754,129,0),"ESTOQUE")</f>
        <v>0</v>
      </c>
      <c r="I129" s="5" t="str" cm="1">
        <f t="array" ref="I129">code128(B129)</f>
        <v>Ì01Î</v>
      </c>
    </row>
    <row r="130" spans="1:9" x14ac:dyDescent="0.3">
      <c r="A130" s="4">
        <f>[1]Sheet!A130</f>
        <v>0</v>
      </c>
      <c r="B130" s="9">
        <f>HLOOKUP(B$1,[1]Sheet!$B$1:$AI$1754,130,0)</f>
        <v>0</v>
      </c>
      <c r="C130" s="9">
        <f>HLOOKUP(C$1,[1]Sheet!$B$1:$AI$1754,130,0)</f>
        <v>0</v>
      </c>
      <c r="D130" s="8">
        <f>HLOOKUP(D$1,[1]Sheet!$B$1:$AI$1754,130,0)</f>
        <v>0</v>
      </c>
      <c r="E130" s="8">
        <f>HLOOKUP(E$1,[1]Sheet!$B$1:$AI$1754,130,0)</f>
        <v>0</v>
      </c>
      <c r="F130" s="10">
        <f>HLOOKUP(F$1,[1]Sheet!$B$1:$AI$1754,130,0)</f>
        <v>0</v>
      </c>
      <c r="G130" s="8">
        <f>HLOOKUP(G$1,[1]Sheet!$B$1:$AI$1754,130,0)</f>
        <v>0</v>
      </c>
      <c r="H130" s="13">
        <f>IF(HLOOKUP(H$1,[1]Sheet!$B$1:$AI$1754,130,0)&lt;&gt;"999",HLOOKUP(H$1,[1]Sheet!$B$1:$AI$1754,130,0),"ESTOQUE")</f>
        <v>0</v>
      </c>
      <c r="I130" s="5" t="str" cm="1">
        <f t="array" ref="I130">code128(B130)</f>
        <v>Ì01Î</v>
      </c>
    </row>
    <row r="131" spans="1:9" x14ac:dyDescent="0.3">
      <c r="A131" s="4">
        <f>[1]Sheet!A131</f>
        <v>0</v>
      </c>
      <c r="B131" s="9">
        <f>HLOOKUP(B$1,[1]Sheet!$B$1:$AI$1754,131,0)</f>
        <v>0</v>
      </c>
      <c r="C131" s="9">
        <f>HLOOKUP(C$1,[1]Sheet!$B$1:$AI$1754,131,0)</f>
        <v>0</v>
      </c>
      <c r="D131" s="8">
        <f>HLOOKUP(D$1,[1]Sheet!$B$1:$AI$1754,131,0)</f>
        <v>0</v>
      </c>
      <c r="E131" s="8">
        <f>HLOOKUP(E$1,[1]Sheet!$B$1:$AI$1754,131,0)</f>
        <v>0</v>
      </c>
      <c r="F131" s="10">
        <f>HLOOKUP(F$1,[1]Sheet!$B$1:$AI$1754,131,0)</f>
        <v>0</v>
      </c>
      <c r="G131" s="8">
        <f>HLOOKUP(G$1,[1]Sheet!$B$1:$AI$1754,131,0)</f>
        <v>0</v>
      </c>
      <c r="H131" s="13">
        <f>IF(HLOOKUP(H$1,[1]Sheet!$B$1:$AI$1754,131,0)&lt;&gt;"999",HLOOKUP(H$1,[1]Sheet!$B$1:$AI$1754,131,0),"ESTOQUE")</f>
        <v>0</v>
      </c>
      <c r="I131" s="5" t="str" cm="1">
        <f t="array" ref="I131">code128(B131)</f>
        <v>Ì01Î</v>
      </c>
    </row>
    <row r="132" spans="1:9" x14ac:dyDescent="0.3">
      <c r="A132" s="4">
        <f>[1]Sheet!A132</f>
        <v>0</v>
      </c>
      <c r="B132" s="9">
        <f>HLOOKUP(B$1,[1]Sheet!$B$1:$AI$1754,132,0)</f>
        <v>0</v>
      </c>
      <c r="C132" s="9">
        <f>HLOOKUP(C$1,[1]Sheet!$B$1:$AI$1754,132,0)</f>
        <v>0</v>
      </c>
      <c r="D132" s="8">
        <f>HLOOKUP(D$1,[1]Sheet!$B$1:$AI$1754,132,0)</f>
        <v>0</v>
      </c>
      <c r="E132" s="8">
        <f>HLOOKUP(E$1,[1]Sheet!$B$1:$AI$1754,132,0)</f>
        <v>0</v>
      </c>
      <c r="F132" s="10">
        <f>HLOOKUP(F$1,[1]Sheet!$B$1:$AI$1754,132,0)</f>
        <v>0</v>
      </c>
      <c r="G132" s="8">
        <f>HLOOKUP(G$1,[1]Sheet!$B$1:$AI$1754,132,0)</f>
        <v>0</v>
      </c>
      <c r="H132" s="13">
        <f>IF(HLOOKUP(H$1,[1]Sheet!$B$1:$AI$1754,132,0)&lt;&gt;"999",HLOOKUP(H$1,[1]Sheet!$B$1:$AI$1754,132,0),"ESTOQUE")</f>
        <v>0</v>
      </c>
      <c r="I132" s="5" t="str" cm="1">
        <f t="array" ref="I132">code128(B132)</f>
        <v>Ì01Î</v>
      </c>
    </row>
    <row r="133" spans="1:9" x14ac:dyDescent="0.3">
      <c r="A133" s="4">
        <f>[1]Sheet!A133</f>
        <v>0</v>
      </c>
      <c r="B133" s="9">
        <f>HLOOKUP(B$1,[1]Sheet!$B$1:$AI$1754,133,0)</f>
        <v>0</v>
      </c>
      <c r="C133" s="9">
        <f>HLOOKUP(C$1,[1]Sheet!$B$1:$AI$1754,133,0)</f>
        <v>0</v>
      </c>
      <c r="D133" s="8">
        <f>HLOOKUP(D$1,[1]Sheet!$B$1:$AI$1754,133,0)</f>
        <v>0</v>
      </c>
      <c r="E133" s="8">
        <f>HLOOKUP(E$1,[1]Sheet!$B$1:$AI$1754,133,0)</f>
        <v>0</v>
      </c>
      <c r="F133" s="10">
        <f>HLOOKUP(F$1,[1]Sheet!$B$1:$AI$1754,133,0)</f>
        <v>0</v>
      </c>
      <c r="G133" s="8">
        <f>HLOOKUP(G$1,[1]Sheet!$B$1:$AI$1754,133,0)</f>
        <v>0</v>
      </c>
      <c r="H133" s="13">
        <f>IF(HLOOKUP(H$1,[1]Sheet!$B$1:$AI$1754,133,0)&lt;&gt;"999",HLOOKUP(H$1,[1]Sheet!$B$1:$AI$1754,133,0),"ESTOQUE")</f>
        <v>0</v>
      </c>
      <c r="I133" s="5" t="str" cm="1">
        <f t="array" ref="I133">code128(B133)</f>
        <v>Ì01Î</v>
      </c>
    </row>
    <row r="134" spans="1:9" x14ac:dyDescent="0.3">
      <c r="A134" s="4">
        <f>[1]Sheet!A134</f>
        <v>0</v>
      </c>
      <c r="B134" s="9">
        <f>HLOOKUP(B$1,[1]Sheet!$B$1:$AI$1754,134,0)</f>
        <v>0</v>
      </c>
      <c r="C134" s="9">
        <f>HLOOKUP(C$1,[1]Sheet!$B$1:$AI$1754,134,0)</f>
        <v>0</v>
      </c>
      <c r="D134" s="8">
        <f>HLOOKUP(D$1,[1]Sheet!$B$1:$AI$1754,134,0)</f>
        <v>0</v>
      </c>
      <c r="E134" s="8">
        <f>HLOOKUP(E$1,[1]Sheet!$B$1:$AI$1754,134,0)</f>
        <v>0</v>
      </c>
      <c r="F134" s="10">
        <f>HLOOKUP(F$1,[1]Sheet!$B$1:$AI$1754,134,0)</f>
        <v>0</v>
      </c>
      <c r="G134" s="8">
        <f>HLOOKUP(G$1,[1]Sheet!$B$1:$AI$1754,134,0)</f>
        <v>0</v>
      </c>
      <c r="H134" s="13">
        <f>IF(HLOOKUP(H$1,[1]Sheet!$B$1:$AI$1754,134,0)&lt;&gt;"999",HLOOKUP(H$1,[1]Sheet!$B$1:$AI$1754,134,0),"ESTOQUE")</f>
        <v>0</v>
      </c>
      <c r="I134" s="5" t="str" cm="1">
        <f t="array" ref="I134">code128(B134)</f>
        <v>Ì01Î</v>
      </c>
    </row>
    <row r="135" spans="1:9" x14ac:dyDescent="0.3">
      <c r="A135" s="4">
        <f>[1]Sheet!A135</f>
        <v>0</v>
      </c>
      <c r="B135" s="9">
        <f>HLOOKUP(B$1,[1]Sheet!$B$1:$AI$1754,135,0)</f>
        <v>0</v>
      </c>
      <c r="C135" s="9">
        <f>HLOOKUP(C$1,[1]Sheet!$B$1:$AI$1754,135,0)</f>
        <v>0</v>
      </c>
      <c r="D135" s="8">
        <f>HLOOKUP(D$1,[1]Sheet!$B$1:$AI$1754,135,0)</f>
        <v>0</v>
      </c>
      <c r="E135" s="8">
        <f>HLOOKUP(E$1,[1]Sheet!$B$1:$AI$1754,135,0)</f>
        <v>0</v>
      </c>
      <c r="F135" s="10">
        <f>HLOOKUP(F$1,[1]Sheet!$B$1:$AI$1754,135,0)</f>
        <v>0</v>
      </c>
      <c r="G135" s="8">
        <f>HLOOKUP(G$1,[1]Sheet!$B$1:$AI$1754,135,0)</f>
        <v>0</v>
      </c>
      <c r="H135" s="13">
        <f>IF(HLOOKUP(H$1,[1]Sheet!$B$1:$AI$1754,135,0)&lt;&gt;"999",HLOOKUP(H$1,[1]Sheet!$B$1:$AI$1754,135,0),"ESTOQUE")</f>
        <v>0</v>
      </c>
      <c r="I135" s="5" t="str" cm="1">
        <f t="array" ref="I135">code128(B135)</f>
        <v>Ì01Î</v>
      </c>
    </row>
    <row r="136" spans="1:9" x14ac:dyDescent="0.3">
      <c r="A136" s="4">
        <f>[1]Sheet!A136</f>
        <v>0</v>
      </c>
      <c r="B136" s="9">
        <f>HLOOKUP(B$1,[1]Sheet!$B$1:$AI$1754,136,0)</f>
        <v>0</v>
      </c>
      <c r="C136" s="9">
        <f>HLOOKUP(C$1,[1]Sheet!$B$1:$AI$1754,136,0)</f>
        <v>0</v>
      </c>
      <c r="D136" s="8">
        <f>HLOOKUP(D$1,[1]Sheet!$B$1:$AI$1754,136,0)</f>
        <v>0</v>
      </c>
      <c r="E136" s="8">
        <f>HLOOKUP(E$1,[1]Sheet!$B$1:$AI$1754,136,0)</f>
        <v>0</v>
      </c>
      <c r="F136" s="10">
        <f>HLOOKUP(F$1,[1]Sheet!$B$1:$AI$1754,136,0)</f>
        <v>0</v>
      </c>
      <c r="G136" s="8">
        <f>HLOOKUP(G$1,[1]Sheet!$B$1:$AI$1754,136,0)</f>
        <v>0</v>
      </c>
      <c r="H136" s="13">
        <f>IF(HLOOKUP(H$1,[1]Sheet!$B$1:$AI$1754,136,0)&lt;&gt;"999",HLOOKUP(H$1,[1]Sheet!$B$1:$AI$1754,136,0),"ESTOQUE")</f>
        <v>0</v>
      </c>
      <c r="I136" s="5" t="str" cm="1">
        <f t="array" ref="I136">code128(B136)</f>
        <v>Ì01Î</v>
      </c>
    </row>
    <row r="137" spans="1:9" x14ac:dyDescent="0.3">
      <c r="A137" s="4">
        <f>[1]Sheet!A137</f>
        <v>0</v>
      </c>
      <c r="B137" s="9">
        <f>HLOOKUP(B$1,[1]Sheet!$B$1:$AI$1754,137,0)</f>
        <v>0</v>
      </c>
      <c r="C137" s="9">
        <f>HLOOKUP(C$1,[1]Sheet!$B$1:$AI$1754,137,0)</f>
        <v>0</v>
      </c>
      <c r="D137" s="8">
        <f>HLOOKUP(D$1,[1]Sheet!$B$1:$AI$1754,137,0)</f>
        <v>0</v>
      </c>
      <c r="E137" s="8">
        <f>HLOOKUP(E$1,[1]Sheet!$B$1:$AI$1754,137,0)</f>
        <v>0</v>
      </c>
      <c r="F137" s="10">
        <f>HLOOKUP(F$1,[1]Sheet!$B$1:$AI$1754,137,0)</f>
        <v>0</v>
      </c>
      <c r="G137" s="8">
        <f>HLOOKUP(G$1,[1]Sheet!$B$1:$AI$1754,137,0)</f>
        <v>0</v>
      </c>
      <c r="H137" s="13">
        <f>IF(HLOOKUP(H$1,[1]Sheet!$B$1:$AI$1754,137,0)&lt;&gt;"999",HLOOKUP(H$1,[1]Sheet!$B$1:$AI$1754,137,0),"ESTOQUE")</f>
        <v>0</v>
      </c>
      <c r="I137" s="5" t="str" cm="1">
        <f t="array" ref="I137">code128(B137)</f>
        <v>Ì01Î</v>
      </c>
    </row>
    <row r="138" spans="1:9" x14ac:dyDescent="0.3">
      <c r="A138" s="4">
        <f>[1]Sheet!A138</f>
        <v>0</v>
      </c>
      <c r="B138" s="9">
        <f>HLOOKUP(B$1,[1]Sheet!$B$1:$AI$1754,138,0)</f>
        <v>0</v>
      </c>
      <c r="C138" s="9">
        <f>HLOOKUP(C$1,[1]Sheet!$B$1:$AI$1754,138,0)</f>
        <v>0</v>
      </c>
      <c r="D138" s="8">
        <f>HLOOKUP(D$1,[1]Sheet!$B$1:$AI$1754,138,0)</f>
        <v>0</v>
      </c>
      <c r="E138" s="8">
        <f>HLOOKUP(E$1,[1]Sheet!$B$1:$AI$1754,138,0)</f>
        <v>0</v>
      </c>
      <c r="F138" s="10">
        <f>HLOOKUP(F$1,[1]Sheet!$B$1:$AI$1754,138,0)</f>
        <v>0</v>
      </c>
      <c r="G138" s="8">
        <f>HLOOKUP(G$1,[1]Sheet!$B$1:$AI$1754,138,0)</f>
        <v>0</v>
      </c>
      <c r="H138" s="13">
        <f>IF(HLOOKUP(H$1,[1]Sheet!$B$1:$AI$1754,138,0)&lt;&gt;"999",HLOOKUP(H$1,[1]Sheet!$B$1:$AI$1754,138,0),"ESTOQUE")</f>
        <v>0</v>
      </c>
      <c r="I138" s="5" t="str" cm="1">
        <f t="array" ref="I138">code128(B138)</f>
        <v>Ì01Î</v>
      </c>
    </row>
    <row r="139" spans="1:9" x14ac:dyDescent="0.3">
      <c r="A139" s="4">
        <f>[1]Sheet!A139</f>
        <v>0</v>
      </c>
      <c r="B139" s="9">
        <f>HLOOKUP(B$1,[1]Sheet!$B$1:$AI$1754,139,0)</f>
        <v>0</v>
      </c>
      <c r="C139" s="9">
        <f>HLOOKUP(C$1,[1]Sheet!$B$1:$AI$1754,139,0)</f>
        <v>0</v>
      </c>
      <c r="D139" s="8">
        <f>HLOOKUP(D$1,[1]Sheet!$B$1:$AI$1754,139,0)</f>
        <v>0</v>
      </c>
      <c r="E139" s="8">
        <f>HLOOKUP(E$1,[1]Sheet!$B$1:$AI$1754,139,0)</f>
        <v>0</v>
      </c>
      <c r="F139" s="10">
        <f>HLOOKUP(F$1,[1]Sheet!$B$1:$AI$1754,139,0)</f>
        <v>0</v>
      </c>
      <c r="G139" s="8">
        <f>HLOOKUP(G$1,[1]Sheet!$B$1:$AI$1754,139,0)</f>
        <v>0</v>
      </c>
      <c r="H139" s="13">
        <f>IF(HLOOKUP(H$1,[1]Sheet!$B$1:$AI$1754,139,0)&lt;&gt;"999",HLOOKUP(H$1,[1]Sheet!$B$1:$AI$1754,139,0),"ESTOQUE")</f>
        <v>0</v>
      </c>
      <c r="I139" s="5" t="str" cm="1">
        <f t="array" ref="I139">code128(B139)</f>
        <v>Ì01Î</v>
      </c>
    </row>
    <row r="140" spans="1:9" x14ac:dyDescent="0.3">
      <c r="A140" s="4">
        <f>[1]Sheet!A140</f>
        <v>0</v>
      </c>
      <c r="B140" s="9">
        <f>HLOOKUP(B$1,[1]Sheet!$B$1:$AI$1754,140,0)</f>
        <v>0</v>
      </c>
      <c r="C140" s="9">
        <f>HLOOKUP(C$1,[1]Sheet!$B$1:$AI$1754,140,0)</f>
        <v>0</v>
      </c>
      <c r="D140" s="8">
        <f>HLOOKUP(D$1,[1]Sheet!$B$1:$AI$1754,140,0)</f>
        <v>0</v>
      </c>
      <c r="E140" s="8">
        <f>HLOOKUP(E$1,[1]Sheet!$B$1:$AI$1754,140,0)</f>
        <v>0</v>
      </c>
      <c r="F140" s="10">
        <f>HLOOKUP(F$1,[1]Sheet!$B$1:$AI$1754,140,0)</f>
        <v>0</v>
      </c>
      <c r="G140" s="8">
        <f>HLOOKUP(G$1,[1]Sheet!$B$1:$AI$1754,140,0)</f>
        <v>0</v>
      </c>
      <c r="H140" s="13">
        <f>IF(HLOOKUP(H$1,[1]Sheet!$B$1:$AI$1754,140,0)&lt;&gt;"999",HLOOKUP(H$1,[1]Sheet!$B$1:$AI$1754,140,0),"ESTOQUE")</f>
        <v>0</v>
      </c>
      <c r="I140" s="5" t="str" cm="1">
        <f t="array" ref="I140">code128(B140)</f>
        <v>Ì01Î</v>
      </c>
    </row>
    <row r="141" spans="1:9" x14ac:dyDescent="0.3">
      <c r="A141" s="4">
        <f>[1]Sheet!A141</f>
        <v>0</v>
      </c>
      <c r="B141" s="9">
        <f>HLOOKUP(B$1,[1]Sheet!$B$1:$AI$1754,141,0)</f>
        <v>0</v>
      </c>
      <c r="C141" s="9">
        <f>HLOOKUP(C$1,[1]Sheet!$B$1:$AI$1754,141,0)</f>
        <v>0</v>
      </c>
      <c r="D141" s="8">
        <f>HLOOKUP(D$1,[1]Sheet!$B$1:$AI$1754,141,0)</f>
        <v>0</v>
      </c>
      <c r="E141" s="8">
        <f>HLOOKUP(E$1,[1]Sheet!$B$1:$AI$1754,141,0)</f>
        <v>0</v>
      </c>
      <c r="F141" s="10">
        <f>HLOOKUP(F$1,[1]Sheet!$B$1:$AI$1754,141,0)</f>
        <v>0</v>
      </c>
      <c r="G141" s="8">
        <f>HLOOKUP(G$1,[1]Sheet!$B$1:$AI$1754,141,0)</f>
        <v>0</v>
      </c>
      <c r="H141" s="13">
        <f>IF(HLOOKUP(H$1,[1]Sheet!$B$1:$AI$1754,141,0)&lt;&gt;"999",HLOOKUP(H$1,[1]Sheet!$B$1:$AI$1754,141,0),"ESTOQUE")</f>
        <v>0</v>
      </c>
      <c r="I141" s="5" t="str" cm="1">
        <f t="array" ref="I141">code128(B141)</f>
        <v>Ì01Î</v>
      </c>
    </row>
    <row r="142" spans="1:9" x14ac:dyDescent="0.3">
      <c r="A142" s="4">
        <f>[1]Sheet!A142</f>
        <v>0</v>
      </c>
      <c r="B142" s="9">
        <f>HLOOKUP(B$1,[1]Sheet!$B$1:$AI$1754,142,0)</f>
        <v>0</v>
      </c>
      <c r="C142" s="9">
        <f>HLOOKUP(C$1,[1]Sheet!$B$1:$AI$1754,142,0)</f>
        <v>0</v>
      </c>
      <c r="D142" s="8">
        <f>HLOOKUP(D$1,[1]Sheet!$B$1:$AI$1754,142,0)</f>
        <v>0</v>
      </c>
      <c r="E142" s="8">
        <f>HLOOKUP(E$1,[1]Sheet!$B$1:$AI$1754,142,0)</f>
        <v>0</v>
      </c>
      <c r="F142" s="10">
        <f>HLOOKUP(F$1,[1]Sheet!$B$1:$AI$1754,142,0)</f>
        <v>0</v>
      </c>
      <c r="G142" s="8">
        <f>HLOOKUP(G$1,[1]Sheet!$B$1:$AI$1754,142,0)</f>
        <v>0</v>
      </c>
      <c r="H142" s="13">
        <f>IF(HLOOKUP(H$1,[1]Sheet!$B$1:$AI$1754,142,0)&lt;&gt;"999",HLOOKUP(H$1,[1]Sheet!$B$1:$AI$1754,142,0),"ESTOQUE")</f>
        <v>0</v>
      </c>
      <c r="I142" s="5" t="str" cm="1">
        <f t="array" ref="I142">code128(B142)</f>
        <v>Ì01Î</v>
      </c>
    </row>
    <row r="143" spans="1:9" x14ac:dyDescent="0.3">
      <c r="A143" s="4">
        <f>[1]Sheet!A143</f>
        <v>0</v>
      </c>
      <c r="B143" s="9">
        <f>HLOOKUP(B$1,[1]Sheet!$B$1:$AI$1754,143,0)</f>
        <v>0</v>
      </c>
      <c r="C143" s="9">
        <f>HLOOKUP(C$1,[1]Sheet!$B$1:$AI$1754,143,0)</f>
        <v>0</v>
      </c>
      <c r="D143" s="8">
        <f>HLOOKUP(D$1,[1]Sheet!$B$1:$AI$1754,143,0)</f>
        <v>0</v>
      </c>
      <c r="E143" s="8">
        <f>HLOOKUP(E$1,[1]Sheet!$B$1:$AI$1754,143,0)</f>
        <v>0</v>
      </c>
      <c r="F143" s="10">
        <f>HLOOKUP(F$1,[1]Sheet!$B$1:$AI$1754,143,0)</f>
        <v>0</v>
      </c>
      <c r="G143" s="8">
        <f>HLOOKUP(G$1,[1]Sheet!$B$1:$AI$1754,143,0)</f>
        <v>0</v>
      </c>
      <c r="H143" s="13">
        <f>IF(HLOOKUP(H$1,[1]Sheet!$B$1:$AI$1754,143,0)&lt;&gt;"999",HLOOKUP(H$1,[1]Sheet!$B$1:$AI$1754,143,0),"ESTOQUE")</f>
        <v>0</v>
      </c>
      <c r="I143" s="5" t="str" cm="1">
        <f t="array" ref="I143">code128(B143)</f>
        <v>Ì01Î</v>
      </c>
    </row>
    <row r="144" spans="1:9" x14ac:dyDescent="0.3">
      <c r="A144" s="4">
        <f>[1]Sheet!A144</f>
        <v>0</v>
      </c>
      <c r="B144" s="9">
        <f>HLOOKUP(B$1,[1]Sheet!$B$1:$AI$1754,144,0)</f>
        <v>0</v>
      </c>
      <c r="C144" s="9">
        <f>HLOOKUP(C$1,[1]Sheet!$B$1:$AI$1754,144,0)</f>
        <v>0</v>
      </c>
      <c r="D144" s="8">
        <f>HLOOKUP(D$1,[1]Sheet!$B$1:$AI$1754,144,0)</f>
        <v>0</v>
      </c>
      <c r="E144" s="8">
        <f>HLOOKUP(E$1,[1]Sheet!$B$1:$AI$1754,144,0)</f>
        <v>0</v>
      </c>
      <c r="F144" s="10">
        <f>HLOOKUP(F$1,[1]Sheet!$B$1:$AI$1754,144,0)</f>
        <v>0</v>
      </c>
      <c r="G144" s="8">
        <f>HLOOKUP(G$1,[1]Sheet!$B$1:$AI$1754,144,0)</f>
        <v>0</v>
      </c>
      <c r="H144" s="13">
        <f>IF(HLOOKUP(H$1,[1]Sheet!$B$1:$AI$1754,144,0)&lt;&gt;"999",HLOOKUP(H$1,[1]Sheet!$B$1:$AI$1754,144,0),"ESTOQUE")</f>
        <v>0</v>
      </c>
      <c r="I144" s="5" t="str" cm="1">
        <f t="array" ref="I144">code128(B144)</f>
        <v>Ì01Î</v>
      </c>
    </row>
    <row r="145" spans="1:9" x14ac:dyDescent="0.3">
      <c r="A145" s="4">
        <f>[1]Sheet!A145</f>
        <v>0</v>
      </c>
      <c r="B145" s="9">
        <f>HLOOKUP(B$1,[1]Sheet!$B$1:$AI$1754,145,0)</f>
        <v>0</v>
      </c>
      <c r="C145" s="9">
        <f>HLOOKUP(C$1,[1]Sheet!$B$1:$AI$1754,145,0)</f>
        <v>0</v>
      </c>
      <c r="D145" s="8">
        <f>HLOOKUP(D$1,[1]Sheet!$B$1:$AI$1754,145,0)</f>
        <v>0</v>
      </c>
      <c r="E145" s="8">
        <f>HLOOKUP(E$1,[1]Sheet!$B$1:$AI$1754,145,0)</f>
        <v>0</v>
      </c>
      <c r="F145" s="10">
        <f>HLOOKUP(F$1,[1]Sheet!$B$1:$AI$1754,145,0)</f>
        <v>0</v>
      </c>
      <c r="G145" s="8">
        <f>HLOOKUP(G$1,[1]Sheet!$B$1:$AI$1754,145,0)</f>
        <v>0</v>
      </c>
      <c r="H145" s="13">
        <f>IF(HLOOKUP(H$1,[1]Sheet!$B$1:$AI$1754,145,0)&lt;&gt;"999",HLOOKUP(H$1,[1]Sheet!$B$1:$AI$1754,145,0),"ESTOQUE")</f>
        <v>0</v>
      </c>
      <c r="I145" s="5" t="str" cm="1">
        <f t="array" ref="I145">code128(B145)</f>
        <v>Ì01Î</v>
      </c>
    </row>
    <row r="146" spans="1:9" x14ac:dyDescent="0.3">
      <c r="A146" s="4">
        <f>[1]Sheet!A146</f>
        <v>0</v>
      </c>
      <c r="B146" s="9">
        <f>HLOOKUP(B$1,[1]Sheet!$B$1:$AI$1754,146,0)</f>
        <v>0</v>
      </c>
      <c r="C146" s="9">
        <f>HLOOKUP(C$1,[1]Sheet!$B$1:$AI$1754,146,0)</f>
        <v>0</v>
      </c>
      <c r="D146" s="8">
        <f>HLOOKUP(D$1,[1]Sheet!$B$1:$AI$1754,146,0)</f>
        <v>0</v>
      </c>
      <c r="E146" s="8">
        <f>HLOOKUP(E$1,[1]Sheet!$B$1:$AI$1754,146,0)</f>
        <v>0</v>
      </c>
      <c r="F146" s="10">
        <f>HLOOKUP(F$1,[1]Sheet!$B$1:$AI$1754,146,0)</f>
        <v>0</v>
      </c>
      <c r="G146" s="8">
        <f>HLOOKUP(G$1,[1]Sheet!$B$1:$AI$1754,146,0)</f>
        <v>0</v>
      </c>
      <c r="H146" s="13">
        <f>IF(HLOOKUP(H$1,[1]Sheet!$B$1:$AI$1754,146,0)&lt;&gt;"999",HLOOKUP(H$1,[1]Sheet!$B$1:$AI$1754,146,0),"ESTOQUE")</f>
        <v>0</v>
      </c>
      <c r="I146" s="5" t="str" cm="1">
        <f t="array" ref="I146">code128(B146)</f>
        <v>Ì01Î</v>
      </c>
    </row>
    <row r="147" spans="1:9" x14ac:dyDescent="0.3">
      <c r="A147" s="4">
        <f>[1]Sheet!A147</f>
        <v>0</v>
      </c>
      <c r="B147" s="9">
        <f>HLOOKUP(B$1,[1]Sheet!$B$1:$AI$1754,147,0)</f>
        <v>0</v>
      </c>
      <c r="C147" s="9">
        <f>HLOOKUP(C$1,[1]Sheet!$B$1:$AI$1754,147,0)</f>
        <v>0</v>
      </c>
      <c r="D147" s="8">
        <f>HLOOKUP(D$1,[1]Sheet!$B$1:$AI$1754,147,0)</f>
        <v>0</v>
      </c>
      <c r="E147" s="8">
        <f>HLOOKUP(E$1,[1]Sheet!$B$1:$AI$1754,147,0)</f>
        <v>0</v>
      </c>
      <c r="F147" s="10">
        <f>HLOOKUP(F$1,[1]Sheet!$B$1:$AI$1754,147,0)</f>
        <v>0</v>
      </c>
      <c r="G147" s="8">
        <f>HLOOKUP(G$1,[1]Sheet!$B$1:$AI$1754,147,0)</f>
        <v>0</v>
      </c>
      <c r="H147" s="13">
        <f>IF(HLOOKUP(H$1,[1]Sheet!$B$1:$AI$1754,147,0)&lt;&gt;"999",HLOOKUP(H$1,[1]Sheet!$B$1:$AI$1754,147,0),"ESTOQUE")</f>
        <v>0</v>
      </c>
      <c r="I147" s="5" t="str" cm="1">
        <f t="array" ref="I147">code128(B147)</f>
        <v>Ì01Î</v>
      </c>
    </row>
    <row r="148" spans="1:9" x14ac:dyDescent="0.3">
      <c r="A148" s="4">
        <f>[1]Sheet!A148</f>
        <v>0</v>
      </c>
      <c r="B148" s="9">
        <f>HLOOKUP(B$1,[1]Sheet!$B$1:$AI$1754,148,0)</f>
        <v>0</v>
      </c>
      <c r="C148" s="9">
        <f>HLOOKUP(C$1,[1]Sheet!$B$1:$AI$1754,148,0)</f>
        <v>0</v>
      </c>
      <c r="D148" s="8">
        <f>HLOOKUP(D$1,[1]Sheet!$B$1:$AI$1754,148,0)</f>
        <v>0</v>
      </c>
      <c r="E148" s="8">
        <f>HLOOKUP(E$1,[1]Sheet!$B$1:$AI$1754,148,0)</f>
        <v>0</v>
      </c>
      <c r="F148" s="10">
        <f>HLOOKUP(F$1,[1]Sheet!$B$1:$AI$1754,148,0)</f>
        <v>0</v>
      </c>
      <c r="G148" s="8">
        <f>HLOOKUP(G$1,[1]Sheet!$B$1:$AI$1754,148,0)</f>
        <v>0</v>
      </c>
      <c r="H148" s="13">
        <f>IF(HLOOKUP(H$1,[1]Sheet!$B$1:$AI$1754,148,0)&lt;&gt;"999",HLOOKUP(H$1,[1]Sheet!$B$1:$AI$1754,148,0),"ESTOQUE")</f>
        <v>0</v>
      </c>
      <c r="I148" s="5" t="str" cm="1">
        <f t="array" ref="I148">code128(B148)</f>
        <v>Ì01Î</v>
      </c>
    </row>
    <row r="149" spans="1:9" x14ac:dyDescent="0.3">
      <c r="A149" s="4">
        <f>[1]Sheet!A149</f>
        <v>0</v>
      </c>
      <c r="B149" s="9">
        <f>HLOOKUP(B$1,[1]Sheet!$B$1:$AI$1754,149,0)</f>
        <v>0</v>
      </c>
      <c r="C149" s="9">
        <f>HLOOKUP(C$1,[1]Sheet!$B$1:$AI$1754,149,0)</f>
        <v>0</v>
      </c>
      <c r="D149" s="8">
        <f>HLOOKUP(D$1,[1]Sheet!$B$1:$AI$1754,149,0)</f>
        <v>0</v>
      </c>
      <c r="E149" s="8">
        <f>HLOOKUP(E$1,[1]Sheet!$B$1:$AI$1754,149,0)</f>
        <v>0</v>
      </c>
      <c r="F149" s="10">
        <f>HLOOKUP(F$1,[1]Sheet!$B$1:$AI$1754,149,0)</f>
        <v>0</v>
      </c>
      <c r="G149" s="8">
        <f>HLOOKUP(G$1,[1]Sheet!$B$1:$AI$1754,149,0)</f>
        <v>0</v>
      </c>
      <c r="H149" s="13">
        <f>IF(HLOOKUP(H$1,[1]Sheet!$B$1:$AI$1754,149,0)&lt;&gt;"999",HLOOKUP(H$1,[1]Sheet!$B$1:$AI$1754,149,0),"ESTOQUE")</f>
        <v>0</v>
      </c>
      <c r="I149" s="5" t="str" cm="1">
        <f t="array" ref="I149">code128(B149)</f>
        <v>Ì01Î</v>
      </c>
    </row>
    <row r="150" spans="1:9" x14ac:dyDescent="0.3">
      <c r="A150" s="4">
        <f>[1]Sheet!A150</f>
        <v>0</v>
      </c>
      <c r="B150" s="9">
        <f>HLOOKUP(B$1,[1]Sheet!$B$1:$AI$1754,150,0)</f>
        <v>0</v>
      </c>
      <c r="C150" s="9">
        <f>HLOOKUP(C$1,[1]Sheet!$B$1:$AI$1754,150,0)</f>
        <v>0</v>
      </c>
      <c r="D150" s="8">
        <f>HLOOKUP(D$1,[1]Sheet!$B$1:$AI$1754,150,0)</f>
        <v>0</v>
      </c>
      <c r="E150" s="8">
        <f>HLOOKUP(E$1,[1]Sheet!$B$1:$AI$1754,150,0)</f>
        <v>0</v>
      </c>
      <c r="F150" s="10">
        <f>HLOOKUP(F$1,[1]Sheet!$B$1:$AI$1754,150,0)</f>
        <v>0</v>
      </c>
      <c r="G150" s="8">
        <f>HLOOKUP(G$1,[1]Sheet!$B$1:$AI$1754,150,0)</f>
        <v>0</v>
      </c>
      <c r="H150" s="13">
        <f>IF(HLOOKUP(H$1,[1]Sheet!$B$1:$AI$1754,150,0)&lt;&gt;"999",HLOOKUP(H$1,[1]Sheet!$B$1:$AI$1754,150,0),"ESTOQUE")</f>
        <v>0</v>
      </c>
      <c r="I150" s="5" t="str" cm="1">
        <f t="array" ref="I150">code128(B150)</f>
        <v>Ì01Î</v>
      </c>
    </row>
    <row r="151" spans="1:9" x14ac:dyDescent="0.3">
      <c r="A151" s="4">
        <f>[1]Sheet!A151</f>
        <v>0</v>
      </c>
      <c r="B151" s="9">
        <f>HLOOKUP(B$1,[1]Sheet!$B$1:$AI$1754,151,0)</f>
        <v>0</v>
      </c>
      <c r="C151" s="9">
        <f>HLOOKUP(C$1,[1]Sheet!$B$1:$AI$1754,151,0)</f>
        <v>0</v>
      </c>
      <c r="D151" s="8">
        <f>HLOOKUP(D$1,[1]Sheet!$B$1:$AI$1754,151,0)</f>
        <v>0</v>
      </c>
      <c r="E151" s="8">
        <f>HLOOKUP(E$1,[1]Sheet!$B$1:$AI$1754,151,0)</f>
        <v>0</v>
      </c>
      <c r="F151" s="10">
        <f>HLOOKUP(F$1,[1]Sheet!$B$1:$AI$1754,151,0)</f>
        <v>0</v>
      </c>
      <c r="G151" s="8">
        <f>HLOOKUP(G$1,[1]Sheet!$B$1:$AI$1754,151,0)</f>
        <v>0</v>
      </c>
      <c r="H151" s="13">
        <f>IF(HLOOKUP(H$1,[1]Sheet!$B$1:$AI$1754,151,0)&lt;&gt;"999",HLOOKUP(H$1,[1]Sheet!$B$1:$AI$1754,151,0),"ESTOQUE")</f>
        <v>0</v>
      </c>
      <c r="I151" s="5" t="str" cm="1">
        <f t="array" ref="I151">code128(B151)</f>
        <v>Ì01Î</v>
      </c>
    </row>
    <row r="152" spans="1:9" x14ac:dyDescent="0.3">
      <c r="A152" s="4">
        <f>[1]Sheet!A152</f>
        <v>0</v>
      </c>
      <c r="B152" s="9">
        <f>HLOOKUP(B$1,[1]Sheet!$B$1:$AI$1754,152,0)</f>
        <v>0</v>
      </c>
      <c r="C152" s="9">
        <f>HLOOKUP(C$1,[1]Sheet!$B$1:$AI$1754,152,0)</f>
        <v>0</v>
      </c>
      <c r="D152" s="8">
        <f>HLOOKUP(D$1,[1]Sheet!$B$1:$AI$1754,152,0)</f>
        <v>0</v>
      </c>
      <c r="E152" s="8">
        <f>HLOOKUP(E$1,[1]Sheet!$B$1:$AI$1754,152,0)</f>
        <v>0</v>
      </c>
      <c r="F152" s="10">
        <f>HLOOKUP(F$1,[1]Sheet!$B$1:$AI$1754,152,0)</f>
        <v>0</v>
      </c>
      <c r="G152" s="8">
        <f>HLOOKUP(G$1,[1]Sheet!$B$1:$AI$1754,152,0)</f>
        <v>0</v>
      </c>
      <c r="H152" s="13">
        <f>IF(HLOOKUP(H$1,[1]Sheet!$B$1:$AI$1754,152,0)&lt;&gt;"999",HLOOKUP(H$1,[1]Sheet!$B$1:$AI$1754,152,0),"ESTOQUE")</f>
        <v>0</v>
      </c>
      <c r="I152" s="5" t="str" cm="1">
        <f t="array" ref="I152">code128(B152)</f>
        <v>Ì01Î</v>
      </c>
    </row>
    <row r="153" spans="1:9" x14ac:dyDescent="0.3">
      <c r="A153" s="4">
        <f>[1]Sheet!A153</f>
        <v>0</v>
      </c>
      <c r="B153" s="9">
        <f>HLOOKUP(B$1,[1]Sheet!$B$1:$AI$1754,153,0)</f>
        <v>0</v>
      </c>
      <c r="C153" s="9">
        <f>HLOOKUP(C$1,[1]Sheet!$B$1:$AI$1754,153,0)</f>
        <v>0</v>
      </c>
      <c r="D153" s="8">
        <f>HLOOKUP(D$1,[1]Sheet!$B$1:$AI$1754,153,0)</f>
        <v>0</v>
      </c>
      <c r="E153" s="8">
        <f>HLOOKUP(E$1,[1]Sheet!$B$1:$AI$1754,153,0)</f>
        <v>0</v>
      </c>
      <c r="F153" s="10">
        <f>HLOOKUP(F$1,[1]Sheet!$B$1:$AI$1754,153,0)</f>
        <v>0</v>
      </c>
      <c r="G153" s="8">
        <f>HLOOKUP(G$1,[1]Sheet!$B$1:$AI$1754,153,0)</f>
        <v>0</v>
      </c>
      <c r="H153" s="13">
        <f>IF(HLOOKUP(H$1,[1]Sheet!$B$1:$AI$1754,153,0)&lt;&gt;"999",HLOOKUP(H$1,[1]Sheet!$B$1:$AI$1754,153,0),"ESTOQUE")</f>
        <v>0</v>
      </c>
      <c r="I153" s="5" t="str" cm="1">
        <f t="array" ref="I153">code128(B153)</f>
        <v>Ì01Î</v>
      </c>
    </row>
    <row r="154" spans="1:9" x14ac:dyDescent="0.3">
      <c r="A154" s="4">
        <f>[1]Sheet!A154</f>
        <v>0</v>
      </c>
      <c r="B154" s="9">
        <f>HLOOKUP(B$1,[1]Sheet!$B$1:$AI$1754,154,0)</f>
        <v>0</v>
      </c>
      <c r="C154" s="9">
        <f>HLOOKUP(C$1,[1]Sheet!$B$1:$AI$1754,154,0)</f>
        <v>0</v>
      </c>
      <c r="D154" s="8">
        <f>HLOOKUP(D$1,[1]Sheet!$B$1:$AI$1754,154,0)</f>
        <v>0</v>
      </c>
      <c r="E154" s="8">
        <f>HLOOKUP(E$1,[1]Sheet!$B$1:$AI$1754,154,0)</f>
        <v>0</v>
      </c>
      <c r="F154" s="10">
        <f>HLOOKUP(F$1,[1]Sheet!$B$1:$AI$1754,154,0)</f>
        <v>0</v>
      </c>
      <c r="G154" s="8">
        <f>HLOOKUP(G$1,[1]Sheet!$B$1:$AI$1754,154,0)</f>
        <v>0</v>
      </c>
      <c r="H154" s="13">
        <f>IF(HLOOKUP(H$1,[1]Sheet!$B$1:$AI$1754,154,0)&lt;&gt;"999",HLOOKUP(H$1,[1]Sheet!$B$1:$AI$1754,154,0),"ESTOQUE")</f>
        <v>0</v>
      </c>
      <c r="I154" s="5" t="str" cm="1">
        <f t="array" ref="I154">code128(B154)</f>
        <v>Ì01Î</v>
      </c>
    </row>
    <row r="155" spans="1:9" x14ac:dyDescent="0.3">
      <c r="A155" s="4">
        <f>[1]Sheet!A155</f>
        <v>0</v>
      </c>
      <c r="B155" s="9">
        <f>HLOOKUP(B$1,[1]Sheet!$B$1:$AI$1754,155,0)</f>
        <v>0</v>
      </c>
      <c r="C155" s="9">
        <f>HLOOKUP(C$1,[1]Sheet!$B$1:$AI$1754,155,0)</f>
        <v>0</v>
      </c>
      <c r="D155" s="8">
        <f>HLOOKUP(D$1,[1]Sheet!$B$1:$AI$1754,155,0)</f>
        <v>0</v>
      </c>
      <c r="E155" s="8">
        <f>HLOOKUP(E$1,[1]Sheet!$B$1:$AI$1754,155,0)</f>
        <v>0</v>
      </c>
      <c r="F155" s="10">
        <f>HLOOKUP(F$1,[1]Sheet!$B$1:$AI$1754,155,0)</f>
        <v>0</v>
      </c>
      <c r="G155" s="8">
        <f>HLOOKUP(G$1,[1]Sheet!$B$1:$AI$1754,155,0)</f>
        <v>0</v>
      </c>
      <c r="H155" s="13">
        <f>IF(HLOOKUP(H$1,[1]Sheet!$B$1:$AI$1754,155,0)&lt;&gt;"999",HLOOKUP(H$1,[1]Sheet!$B$1:$AI$1754,155,0),"ESTOQUE")</f>
        <v>0</v>
      </c>
      <c r="I155" s="5" t="str" cm="1">
        <f t="array" ref="I155">code128(B155)</f>
        <v>Ì01Î</v>
      </c>
    </row>
    <row r="156" spans="1:9" x14ac:dyDescent="0.3">
      <c r="A156" s="4">
        <f>[1]Sheet!A156</f>
        <v>0</v>
      </c>
      <c r="B156" s="9">
        <f>HLOOKUP(B$1,[1]Sheet!$B$1:$AI$1754,156,0)</f>
        <v>0</v>
      </c>
      <c r="C156" s="9">
        <f>HLOOKUP(C$1,[1]Sheet!$B$1:$AI$1754,156,0)</f>
        <v>0</v>
      </c>
      <c r="D156" s="8">
        <f>HLOOKUP(D$1,[1]Sheet!$B$1:$AI$1754,156,0)</f>
        <v>0</v>
      </c>
      <c r="E156" s="8">
        <f>HLOOKUP(E$1,[1]Sheet!$B$1:$AI$1754,156,0)</f>
        <v>0</v>
      </c>
      <c r="F156" s="10">
        <f>HLOOKUP(F$1,[1]Sheet!$B$1:$AI$1754,156,0)</f>
        <v>0</v>
      </c>
      <c r="G156" s="8">
        <f>HLOOKUP(G$1,[1]Sheet!$B$1:$AI$1754,156,0)</f>
        <v>0</v>
      </c>
      <c r="H156" s="13">
        <f>IF(HLOOKUP(H$1,[1]Sheet!$B$1:$AI$1754,156,0)&lt;&gt;"999",HLOOKUP(H$1,[1]Sheet!$B$1:$AI$1754,156,0),"ESTOQUE")</f>
        <v>0</v>
      </c>
      <c r="I156" s="5" t="str" cm="1">
        <f t="array" ref="I156">code128(B156)</f>
        <v>Ì01Î</v>
      </c>
    </row>
    <row r="157" spans="1:9" x14ac:dyDescent="0.3">
      <c r="A157" s="4">
        <f>[1]Sheet!A157</f>
        <v>0</v>
      </c>
      <c r="B157" s="9">
        <f>HLOOKUP(B$1,[1]Sheet!$B$1:$AI$1754,157,0)</f>
        <v>0</v>
      </c>
      <c r="C157" s="9">
        <f>HLOOKUP(C$1,[1]Sheet!$B$1:$AI$1754,157,0)</f>
        <v>0</v>
      </c>
      <c r="D157" s="8">
        <f>HLOOKUP(D$1,[1]Sheet!$B$1:$AI$1754,157,0)</f>
        <v>0</v>
      </c>
      <c r="E157" s="8">
        <f>HLOOKUP(E$1,[1]Sheet!$B$1:$AI$1754,157,0)</f>
        <v>0</v>
      </c>
      <c r="F157" s="10">
        <f>HLOOKUP(F$1,[1]Sheet!$B$1:$AI$1754,157,0)</f>
        <v>0</v>
      </c>
      <c r="G157" s="8">
        <f>HLOOKUP(G$1,[1]Sheet!$B$1:$AI$1754,157,0)</f>
        <v>0</v>
      </c>
      <c r="H157" s="13">
        <f>IF(HLOOKUP(H$1,[1]Sheet!$B$1:$AI$1754,157,0)&lt;&gt;"999",HLOOKUP(H$1,[1]Sheet!$B$1:$AI$1754,157,0),"ESTOQUE")</f>
        <v>0</v>
      </c>
      <c r="I157" s="5" t="str" cm="1">
        <f t="array" ref="I157">code128(B157)</f>
        <v>Ì01Î</v>
      </c>
    </row>
    <row r="158" spans="1:9" x14ac:dyDescent="0.3">
      <c r="A158" s="4">
        <f>[1]Sheet!A158</f>
        <v>0</v>
      </c>
      <c r="B158" s="9">
        <f>HLOOKUP(B$1,[1]Sheet!$B$1:$AI$1754,158,0)</f>
        <v>0</v>
      </c>
      <c r="C158" s="9">
        <f>HLOOKUP(C$1,[1]Sheet!$B$1:$AI$1754,158,0)</f>
        <v>0</v>
      </c>
      <c r="D158" s="8">
        <f>HLOOKUP(D$1,[1]Sheet!$B$1:$AI$1754,158,0)</f>
        <v>0</v>
      </c>
      <c r="E158" s="8">
        <f>HLOOKUP(E$1,[1]Sheet!$B$1:$AI$1754,158,0)</f>
        <v>0</v>
      </c>
      <c r="F158" s="10">
        <f>HLOOKUP(F$1,[1]Sheet!$B$1:$AI$1754,158,0)</f>
        <v>0</v>
      </c>
      <c r="G158" s="8">
        <f>HLOOKUP(G$1,[1]Sheet!$B$1:$AI$1754,158,0)</f>
        <v>0</v>
      </c>
      <c r="H158" s="13">
        <f>IF(HLOOKUP(H$1,[1]Sheet!$B$1:$AI$1754,158,0)&lt;&gt;"999",HLOOKUP(H$1,[1]Sheet!$B$1:$AI$1754,158,0),"ESTOQUE")</f>
        <v>0</v>
      </c>
      <c r="I158" s="5" t="str" cm="1">
        <f t="array" ref="I158">code128(B158)</f>
        <v>Ì01Î</v>
      </c>
    </row>
    <row r="159" spans="1:9" x14ac:dyDescent="0.3">
      <c r="A159" s="4">
        <f>[1]Sheet!A159</f>
        <v>0</v>
      </c>
      <c r="B159" s="9">
        <f>HLOOKUP(B$1,[1]Sheet!$B$1:$AI$1754,159,0)</f>
        <v>0</v>
      </c>
      <c r="C159" s="9">
        <f>HLOOKUP(C$1,[1]Sheet!$B$1:$AI$1754,159,0)</f>
        <v>0</v>
      </c>
      <c r="D159" s="8">
        <f>HLOOKUP(D$1,[1]Sheet!$B$1:$AI$1754,159,0)</f>
        <v>0</v>
      </c>
      <c r="E159" s="8">
        <f>HLOOKUP(E$1,[1]Sheet!$B$1:$AI$1754,159,0)</f>
        <v>0</v>
      </c>
      <c r="F159" s="10">
        <f>HLOOKUP(F$1,[1]Sheet!$B$1:$AI$1754,159,0)</f>
        <v>0</v>
      </c>
      <c r="G159" s="8">
        <f>HLOOKUP(G$1,[1]Sheet!$B$1:$AI$1754,159,0)</f>
        <v>0</v>
      </c>
      <c r="H159" s="13">
        <f>IF(HLOOKUP(H$1,[1]Sheet!$B$1:$AI$1754,159,0)&lt;&gt;"999",HLOOKUP(H$1,[1]Sheet!$B$1:$AI$1754,159,0),"ESTOQUE")</f>
        <v>0</v>
      </c>
      <c r="I159" s="5" t="str" cm="1">
        <f t="array" ref="I159">code128(B159)</f>
        <v>Ì01Î</v>
      </c>
    </row>
    <row r="160" spans="1:9" x14ac:dyDescent="0.3">
      <c r="A160" s="4">
        <f>[1]Sheet!A160</f>
        <v>0</v>
      </c>
      <c r="B160" s="9">
        <f>HLOOKUP(B$1,[1]Sheet!$B$1:$AI$1754,160,0)</f>
        <v>0</v>
      </c>
      <c r="C160" s="9">
        <f>HLOOKUP(C$1,[1]Sheet!$B$1:$AI$1754,160,0)</f>
        <v>0</v>
      </c>
      <c r="D160" s="8">
        <f>HLOOKUP(D$1,[1]Sheet!$B$1:$AI$1754,160,0)</f>
        <v>0</v>
      </c>
      <c r="E160" s="8">
        <f>HLOOKUP(E$1,[1]Sheet!$B$1:$AI$1754,160,0)</f>
        <v>0</v>
      </c>
      <c r="F160" s="10">
        <f>HLOOKUP(F$1,[1]Sheet!$B$1:$AI$1754,160,0)</f>
        <v>0</v>
      </c>
      <c r="G160" s="8">
        <f>HLOOKUP(G$1,[1]Sheet!$B$1:$AI$1754,160,0)</f>
        <v>0</v>
      </c>
      <c r="H160" s="13">
        <f>IF(HLOOKUP(H$1,[1]Sheet!$B$1:$AI$1754,160,0)&lt;&gt;"999",HLOOKUP(H$1,[1]Sheet!$B$1:$AI$1754,160,0),"ESTOQUE")</f>
        <v>0</v>
      </c>
      <c r="I160" s="5" t="str" cm="1">
        <f t="array" ref="I160">code128(B160)</f>
        <v>Ì01Î</v>
      </c>
    </row>
    <row r="161" spans="1:9" x14ac:dyDescent="0.3">
      <c r="A161" s="4">
        <f>[1]Sheet!A161</f>
        <v>0</v>
      </c>
      <c r="B161" s="9">
        <f>HLOOKUP(B$1,[1]Sheet!$B$1:$AI$1754,161,0)</f>
        <v>0</v>
      </c>
      <c r="C161" s="9">
        <f>HLOOKUP(C$1,[1]Sheet!$B$1:$AI$1754,161,0)</f>
        <v>0</v>
      </c>
      <c r="D161" s="8">
        <f>HLOOKUP(D$1,[1]Sheet!$B$1:$AI$1754,161,0)</f>
        <v>0</v>
      </c>
      <c r="E161" s="8">
        <f>HLOOKUP(E$1,[1]Sheet!$B$1:$AI$1754,161,0)</f>
        <v>0</v>
      </c>
      <c r="F161" s="10">
        <f>HLOOKUP(F$1,[1]Sheet!$B$1:$AI$1754,161,0)</f>
        <v>0</v>
      </c>
      <c r="G161" s="8">
        <f>HLOOKUP(G$1,[1]Sheet!$B$1:$AI$1754,161,0)</f>
        <v>0</v>
      </c>
      <c r="H161" s="13">
        <f>IF(HLOOKUP(H$1,[1]Sheet!$B$1:$AI$1754,161,0)&lt;&gt;"999",HLOOKUP(H$1,[1]Sheet!$B$1:$AI$1754,161,0),"ESTOQUE")</f>
        <v>0</v>
      </c>
      <c r="I161" s="5" t="str" cm="1">
        <f t="array" ref="I161">code128(B161)</f>
        <v>Ì01Î</v>
      </c>
    </row>
    <row r="162" spans="1:9" x14ac:dyDescent="0.3">
      <c r="A162" s="4">
        <f>[1]Sheet!A162</f>
        <v>0</v>
      </c>
      <c r="B162" s="9">
        <f>HLOOKUP(B$1,[1]Sheet!$B$1:$AI$1754,162,0)</f>
        <v>0</v>
      </c>
      <c r="C162" s="9">
        <f>HLOOKUP(C$1,[1]Sheet!$B$1:$AI$1754,162,0)</f>
        <v>0</v>
      </c>
      <c r="D162" s="8">
        <f>HLOOKUP(D$1,[1]Sheet!$B$1:$AI$1754,162,0)</f>
        <v>0</v>
      </c>
      <c r="E162" s="8">
        <f>HLOOKUP(E$1,[1]Sheet!$B$1:$AI$1754,162,0)</f>
        <v>0</v>
      </c>
      <c r="F162" s="10">
        <f>HLOOKUP(F$1,[1]Sheet!$B$1:$AI$1754,162,0)</f>
        <v>0</v>
      </c>
      <c r="G162" s="8">
        <f>HLOOKUP(G$1,[1]Sheet!$B$1:$AI$1754,162,0)</f>
        <v>0</v>
      </c>
      <c r="H162" s="13">
        <f>IF(HLOOKUP(H$1,[1]Sheet!$B$1:$AI$1754,162,0)&lt;&gt;"999",HLOOKUP(H$1,[1]Sheet!$B$1:$AI$1754,162,0),"ESTOQUE")</f>
        <v>0</v>
      </c>
      <c r="I162" s="5" t="str" cm="1">
        <f t="array" ref="I162">code128(B162)</f>
        <v>Ì01Î</v>
      </c>
    </row>
    <row r="163" spans="1:9" x14ac:dyDescent="0.3">
      <c r="A163" s="4">
        <f>[1]Sheet!A163</f>
        <v>0</v>
      </c>
      <c r="B163" s="9">
        <f>HLOOKUP(B$1,[1]Sheet!$B$1:$AI$1754,163,0)</f>
        <v>0</v>
      </c>
      <c r="C163" s="9">
        <f>HLOOKUP(C$1,[1]Sheet!$B$1:$AI$1754,163,0)</f>
        <v>0</v>
      </c>
      <c r="D163" s="8">
        <f>HLOOKUP(D$1,[1]Sheet!$B$1:$AI$1754,163,0)</f>
        <v>0</v>
      </c>
      <c r="E163" s="8">
        <f>HLOOKUP(E$1,[1]Sheet!$B$1:$AI$1754,163,0)</f>
        <v>0</v>
      </c>
      <c r="F163" s="10">
        <f>HLOOKUP(F$1,[1]Sheet!$B$1:$AI$1754,163,0)</f>
        <v>0</v>
      </c>
      <c r="G163" s="8">
        <f>HLOOKUP(G$1,[1]Sheet!$B$1:$AI$1754,163,0)</f>
        <v>0</v>
      </c>
      <c r="H163" s="13">
        <f>IF(HLOOKUP(H$1,[1]Sheet!$B$1:$AI$1754,163,0)&lt;&gt;"999",HLOOKUP(H$1,[1]Sheet!$B$1:$AI$1754,163,0),"ESTOQUE")</f>
        <v>0</v>
      </c>
      <c r="I163" s="5" t="str" cm="1">
        <f t="array" ref="I163">code128(B163)</f>
        <v>Ì01Î</v>
      </c>
    </row>
    <row r="164" spans="1:9" x14ac:dyDescent="0.3">
      <c r="A164" s="4">
        <f>[1]Sheet!A164</f>
        <v>0</v>
      </c>
      <c r="B164" s="9">
        <f>HLOOKUP(B$1,[1]Sheet!$B$1:$AI$1754,164,0)</f>
        <v>0</v>
      </c>
      <c r="C164" s="9">
        <f>HLOOKUP(C$1,[1]Sheet!$B$1:$AI$1754,164,0)</f>
        <v>0</v>
      </c>
      <c r="D164" s="8">
        <f>HLOOKUP(D$1,[1]Sheet!$B$1:$AI$1754,164,0)</f>
        <v>0</v>
      </c>
      <c r="E164" s="8">
        <f>HLOOKUP(E$1,[1]Sheet!$B$1:$AI$1754,164,0)</f>
        <v>0</v>
      </c>
      <c r="F164" s="10">
        <f>HLOOKUP(F$1,[1]Sheet!$B$1:$AI$1754,164,0)</f>
        <v>0</v>
      </c>
      <c r="G164" s="8">
        <f>HLOOKUP(G$1,[1]Sheet!$B$1:$AI$1754,164,0)</f>
        <v>0</v>
      </c>
      <c r="H164" s="13">
        <f>IF(HLOOKUP(H$1,[1]Sheet!$B$1:$AI$1754,164,0)&lt;&gt;"999",HLOOKUP(H$1,[1]Sheet!$B$1:$AI$1754,164,0),"ESTOQUE")</f>
        <v>0</v>
      </c>
      <c r="I164" s="5" t="str" cm="1">
        <f t="array" ref="I164">code128(B164)</f>
        <v>Ì01Î</v>
      </c>
    </row>
    <row r="165" spans="1:9" x14ac:dyDescent="0.3">
      <c r="A165" s="4">
        <f>[1]Sheet!A165</f>
        <v>0</v>
      </c>
      <c r="B165" s="9">
        <f>HLOOKUP(B$1,[1]Sheet!$B$1:$AI$1754,165,0)</f>
        <v>0</v>
      </c>
      <c r="C165" s="9">
        <f>HLOOKUP(C$1,[1]Sheet!$B$1:$AI$1754,165,0)</f>
        <v>0</v>
      </c>
      <c r="D165" s="8">
        <f>HLOOKUP(D$1,[1]Sheet!$B$1:$AI$1754,165,0)</f>
        <v>0</v>
      </c>
      <c r="E165" s="8">
        <f>HLOOKUP(E$1,[1]Sheet!$B$1:$AI$1754,165,0)</f>
        <v>0</v>
      </c>
      <c r="F165" s="10">
        <f>HLOOKUP(F$1,[1]Sheet!$B$1:$AI$1754,165,0)</f>
        <v>0</v>
      </c>
      <c r="G165" s="8">
        <f>HLOOKUP(G$1,[1]Sheet!$B$1:$AI$1754,165,0)</f>
        <v>0</v>
      </c>
      <c r="H165" s="13">
        <f>IF(HLOOKUP(H$1,[1]Sheet!$B$1:$AI$1754,165,0)&lt;&gt;"999",HLOOKUP(H$1,[1]Sheet!$B$1:$AI$1754,165,0),"ESTOQUE")</f>
        <v>0</v>
      </c>
      <c r="I165" s="5" t="str" cm="1">
        <f t="array" ref="I165">code128(B165)</f>
        <v>Ì01Î</v>
      </c>
    </row>
    <row r="166" spans="1:9" x14ac:dyDescent="0.3">
      <c r="A166" s="4">
        <f>[1]Sheet!A166</f>
        <v>0</v>
      </c>
      <c r="B166" s="9">
        <f>HLOOKUP(B$1,[1]Sheet!$B$1:$AI$1754,166,0)</f>
        <v>0</v>
      </c>
      <c r="C166" s="9">
        <f>HLOOKUP(C$1,[1]Sheet!$B$1:$AI$1754,166,0)</f>
        <v>0</v>
      </c>
      <c r="D166" s="8">
        <f>HLOOKUP(D$1,[1]Sheet!$B$1:$AI$1754,166,0)</f>
        <v>0</v>
      </c>
      <c r="E166" s="8">
        <f>HLOOKUP(E$1,[1]Sheet!$B$1:$AI$1754,166,0)</f>
        <v>0</v>
      </c>
      <c r="F166" s="10">
        <f>HLOOKUP(F$1,[1]Sheet!$B$1:$AI$1754,166,0)</f>
        <v>0</v>
      </c>
      <c r="G166" s="8">
        <f>HLOOKUP(G$1,[1]Sheet!$B$1:$AI$1754,166,0)</f>
        <v>0</v>
      </c>
      <c r="H166" s="13">
        <f>IF(HLOOKUP(H$1,[1]Sheet!$B$1:$AI$1754,166,0)&lt;&gt;"999",HLOOKUP(H$1,[1]Sheet!$B$1:$AI$1754,166,0),"ESTOQUE")</f>
        <v>0</v>
      </c>
      <c r="I166" s="5" t="str" cm="1">
        <f t="array" ref="I166">code128(B166)</f>
        <v>Ì01Î</v>
      </c>
    </row>
    <row r="167" spans="1:9" x14ac:dyDescent="0.3">
      <c r="A167" s="4">
        <f>[1]Sheet!A167</f>
        <v>0</v>
      </c>
      <c r="B167" s="9">
        <f>HLOOKUP(B$1,[1]Sheet!$B$1:$AI$1754,167,0)</f>
        <v>0</v>
      </c>
      <c r="C167" s="9">
        <f>HLOOKUP(C$1,[1]Sheet!$B$1:$AI$1754,167,0)</f>
        <v>0</v>
      </c>
      <c r="D167" s="8">
        <f>HLOOKUP(D$1,[1]Sheet!$B$1:$AI$1754,167,0)</f>
        <v>0</v>
      </c>
      <c r="E167" s="8">
        <f>HLOOKUP(E$1,[1]Sheet!$B$1:$AI$1754,167,0)</f>
        <v>0</v>
      </c>
      <c r="F167" s="10">
        <f>HLOOKUP(F$1,[1]Sheet!$B$1:$AI$1754,167,0)</f>
        <v>0</v>
      </c>
      <c r="G167" s="8">
        <f>HLOOKUP(G$1,[1]Sheet!$B$1:$AI$1754,167,0)</f>
        <v>0</v>
      </c>
      <c r="H167" s="13">
        <f>IF(HLOOKUP(H$1,[1]Sheet!$B$1:$AI$1754,167,0)&lt;&gt;"999",HLOOKUP(H$1,[1]Sheet!$B$1:$AI$1754,167,0),"ESTOQUE")</f>
        <v>0</v>
      </c>
      <c r="I167" s="5" t="str" cm="1">
        <f t="array" ref="I167">code128(B167)</f>
        <v>Ì01Î</v>
      </c>
    </row>
    <row r="168" spans="1:9" x14ac:dyDescent="0.3">
      <c r="A168" s="4">
        <f>[1]Sheet!A168</f>
        <v>0</v>
      </c>
      <c r="B168" s="9">
        <f>HLOOKUP(B$1,[1]Sheet!$B$1:$AI$1754,168,0)</f>
        <v>0</v>
      </c>
      <c r="C168" s="9">
        <f>HLOOKUP(C$1,[1]Sheet!$B$1:$AI$1754,168,0)</f>
        <v>0</v>
      </c>
      <c r="D168" s="8">
        <f>HLOOKUP(D$1,[1]Sheet!$B$1:$AI$1754,168,0)</f>
        <v>0</v>
      </c>
      <c r="E168" s="8">
        <f>HLOOKUP(E$1,[1]Sheet!$B$1:$AI$1754,168,0)</f>
        <v>0</v>
      </c>
      <c r="F168" s="10">
        <f>HLOOKUP(F$1,[1]Sheet!$B$1:$AI$1754,168,0)</f>
        <v>0</v>
      </c>
      <c r="G168" s="8">
        <f>HLOOKUP(G$1,[1]Sheet!$B$1:$AI$1754,168,0)</f>
        <v>0</v>
      </c>
      <c r="H168" s="13">
        <f>IF(HLOOKUP(H$1,[1]Sheet!$B$1:$AI$1754,168,0)&lt;&gt;"999",HLOOKUP(H$1,[1]Sheet!$B$1:$AI$1754,168,0),"ESTOQUE")</f>
        <v>0</v>
      </c>
      <c r="I168" s="5" t="str" cm="1">
        <f t="array" ref="I168">code128(B168)</f>
        <v>Ì01Î</v>
      </c>
    </row>
    <row r="169" spans="1:9" x14ac:dyDescent="0.3">
      <c r="A169" s="4">
        <f>[1]Sheet!A169</f>
        <v>0</v>
      </c>
      <c r="B169" s="9">
        <f>HLOOKUP(B$1,[1]Sheet!$B$1:$AI$1754,169,0)</f>
        <v>0</v>
      </c>
      <c r="C169" s="9">
        <f>HLOOKUP(C$1,[1]Sheet!$B$1:$AI$1754,169,0)</f>
        <v>0</v>
      </c>
      <c r="D169" s="8">
        <f>HLOOKUP(D$1,[1]Sheet!$B$1:$AI$1754,169,0)</f>
        <v>0</v>
      </c>
      <c r="E169" s="8">
        <f>HLOOKUP(E$1,[1]Sheet!$B$1:$AI$1754,169,0)</f>
        <v>0</v>
      </c>
      <c r="F169" s="10">
        <f>HLOOKUP(F$1,[1]Sheet!$B$1:$AI$1754,169,0)</f>
        <v>0</v>
      </c>
      <c r="G169" s="8">
        <f>HLOOKUP(G$1,[1]Sheet!$B$1:$AI$1754,169,0)</f>
        <v>0</v>
      </c>
      <c r="H169" s="13">
        <f>IF(HLOOKUP(H$1,[1]Sheet!$B$1:$AI$1754,169,0)&lt;&gt;"999",HLOOKUP(H$1,[1]Sheet!$B$1:$AI$1754,169,0),"ESTOQUE")</f>
        <v>0</v>
      </c>
      <c r="I169" s="5" t="str" cm="1">
        <f t="array" ref="I169">code128(B169)</f>
        <v>Ì01Î</v>
      </c>
    </row>
    <row r="170" spans="1:9" x14ac:dyDescent="0.3">
      <c r="A170" s="4">
        <f>[1]Sheet!A170</f>
        <v>0</v>
      </c>
      <c r="B170" s="9">
        <f>HLOOKUP(B$1,[1]Sheet!$B$1:$AI$1754,170,0)</f>
        <v>0</v>
      </c>
      <c r="C170" s="9">
        <f>HLOOKUP(C$1,[1]Sheet!$B$1:$AI$1754,170,0)</f>
        <v>0</v>
      </c>
      <c r="D170" s="8">
        <f>HLOOKUP(D$1,[1]Sheet!$B$1:$AI$1754,170,0)</f>
        <v>0</v>
      </c>
      <c r="E170" s="8">
        <f>HLOOKUP(E$1,[1]Sheet!$B$1:$AI$1754,170,0)</f>
        <v>0</v>
      </c>
      <c r="F170" s="10">
        <f>HLOOKUP(F$1,[1]Sheet!$B$1:$AI$1754,170,0)</f>
        <v>0</v>
      </c>
      <c r="G170" s="8">
        <f>HLOOKUP(G$1,[1]Sheet!$B$1:$AI$1754,170,0)</f>
        <v>0</v>
      </c>
      <c r="H170" s="13">
        <f>IF(HLOOKUP(H$1,[1]Sheet!$B$1:$AI$1754,170,0)&lt;&gt;"999",HLOOKUP(H$1,[1]Sheet!$B$1:$AI$1754,170,0),"ESTOQUE")</f>
        <v>0</v>
      </c>
      <c r="I170" s="5" t="str" cm="1">
        <f t="array" ref="I170">code128(B170)</f>
        <v>Ì01Î</v>
      </c>
    </row>
    <row r="171" spans="1:9" x14ac:dyDescent="0.3">
      <c r="A171" s="4">
        <f>[1]Sheet!A171</f>
        <v>0</v>
      </c>
      <c r="B171" s="9">
        <f>HLOOKUP(B$1,[1]Sheet!$B$1:$AI$1754,171,0)</f>
        <v>0</v>
      </c>
      <c r="C171" s="9">
        <f>HLOOKUP(C$1,[1]Sheet!$B$1:$AI$1754,171,0)</f>
        <v>0</v>
      </c>
      <c r="D171" s="8">
        <f>HLOOKUP(D$1,[1]Sheet!$B$1:$AI$1754,171,0)</f>
        <v>0</v>
      </c>
      <c r="E171" s="8">
        <f>HLOOKUP(E$1,[1]Sheet!$B$1:$AI$1754,171,0)</f>
        <v>0</v>
      </c>
      <c r="F171" s="10">
        <f>HLOOKUP(F$1,[1]Sheet!$B$1:$AI$1754,171,0)</f>
        <v>0</v>
      </c>
      <c r="G171" s="8">
        <f>HLOOKUP(G$1,[1]Sheet!$B$1:$AI$1754,171,0)</f>
        <v>0</v>
      </c>
      <c r="H171" s="13">
        <f>IF(HLOOKUP(H$1,[1]Sheet!$B$1:$AI$1754,171,0)&lt;&gt;"999",HLOOKUP(H$1,[1]Sheet!$B$1:$AI$1754,171,0),"ESTOQUE")</f>
        <v>0</v>
      </c>
      <c r="I171" s="5" t="str" cm="1">
        <f t="array" ref="I171">code128(B171)</f>
        <v>Ì01Î</v>
      </c>
    </row>
    <row r="172" spans="1:9" x14ac:dyDescent="0.3">
      <c r="A172" s="4">
        <f>[1]Sheet!A172</f>
        <v>0</v>
      </c>
      <c r="B172" s="9">
        <f>HLOOKUP(B$1,[1]Sheet!$B$1:$AI$1754,172,0)</f>
        <v>0</v>
      </c>
      <c r="C172" s="9">
        <f>HLOOKUP(C$1,[1]Sheet!$B$1:$AI$1754,172,0)</f>
        <v>0</v>
      </c>
      <c r="D172" s="8">
        <f>HLOOKUP(D$1,[1]Sheet!$B$1:$AI$1754,172,0)</f>
        <v>0</v>
      </c>
      <c r="E172" s="8">
        <f>HLOOKUP(E$1,[1]Sheet!$B$1:$AI$1754,172,0)</f>
        <v>0</v>
      </c>
      <c r="F172" s="10">
        <f>HLOOKUP(F$1,[1]Sheet!$B$1:$AI$1754,172,0)</f>
        <v>0</v>
      </c>
      <c r="G172" s="8">
        <f>HLOOKUP(G$1,[1]Sheet!$B$1:$AI$1754,172,0)</f>
        <v>0</v>
      </c>
      <c r="H172" s="13">
        <f>IF(HLOOKUP(H$1,[1]Sheet!$B$1:$AI$1754,172,0)&lt;&gt;"999",HLOOKUP(H$1,[1]Sheet!$B$1:$AI$1754,172,0),"ESTOQUE")</f>
        <v>0</v>
      </c>
      <c r="I172" s="5" t="str" cm="1">
        <f t="array" ref="I172">code128(B172)</f>
        <v>Ì01Î</v>
      </c>
    </row>
    <row r="173" spans="1:9" x14ac:dyDescent="0.3">
      <c r="A173" s="4">
        <f>[1]Sheet!A173</f>
        <v>0</v>
      </c>
      <c r="B173" s="9">
        <f>HLOOKUP(B$1,[1]Sheet!$B$1:$AI$1754,173,0)</f>
        <v>0</v>
      </c>
      <c r="C173" s="9">
        <f>HLOOKUP(C$1,[1]Sheet!$B$1:$AI$1754,173,0)</f>
        <v>0</v>
      </c>
      <c r="D173" s="8">
        <f>HLOOKUP(D$1,[1]Sheet!$B$1:$AI$1754,173,0)</f>
        <v>0</v>
      </c>
      <c r="E173" s="8">
        <f>HLOOKUP(E$1,[1]Sheet!$B$1:$AI$1754,173,0)</f>
        <v>0</v>
      </c>
      <c r="F173" s="10">
        <f>HLOOKUP(F$1,[1]Sheet!$B$1:$AI$1754,173,0)</f>
        <v>0</v>
      </c>
      <c r="G173" s="8">
        <f>HLOOKUP(G$1,[1]Sheet!$B$1:$AI$1754,173,0)</f>
        <v>0</v>
      </c>
      <c r="H173" s="13">
        <f>IF(HLOOKUP(H$1,[1]Sheet!$B$1:$AI$1754,173,0)&lt;&gt;"999",HLOOKUP(H$1,[1]Sheet!$B$1:$AI$1754,173,0),"ESTOQUE")</f>
        <v>0</v>
      </c>
      <c r="I173" s="5" t="str" cm="1">
        <f t="array" ref="I173">code128(B173)</f>
        <v>Ì01Î</v>
      </c>
    </row>
    <row r="174" spans="1:9" x14ac:dyDescent="0.3">
      <c r="A174" s="4">
        <f>[1]Sheet!A174</f>
        <v>0</v>
      </c>
      <c r="B174" s="9">
        <f>HLOOKUP(B$1,[1]Sheet!$B$1:$AI$1754,174,0)</f>
        <v>0</v>
      </c>
      <c r="C174" s="9">
        <f>HLOOKUP(C$1,[1]Sheet!$B$1:$AI$1754,174,0)</f>
        <v>0</v>
      </c>
      <c r="D174" s="8">
        <f>HLOOKUP(D$1,[1]Sheet!$B$1:$AI$1754,174,0)</f>
        <v>0</v>
      </c>
      <c r="E174" s="8">
        <f>HLOOKUP(E$1,[1]Sheet!$B$1:$AI$1754,174,0)</f>
        <v>0</v>
      </c>
      <c r="F174" s="10">
        <f>HLOOKUP(F$1,[1]Sheet!$B$1:$AI$1754,174,0)</f>
        <v>0</v>
      </c>
      <c r="G174" s="8">
        <f>HLOOKUP(G$1,[1]Sheet!$B$1:$AI$1754,174,0)</f>
        <v>0</v>
      </c>
      <c r="H174" s="13">
        <f>IF(HLOOKUP(H$1,[1]Sheet!$B$1:$AI$1754,174,0)&lt;&gt;"999",HLOOKUP(H$1,[1]Sheet!$B$1:$AI$1754,174,0),"ESTOQUE")</f>
        <v>0</v>
      </c>
      <c r="I174" s="5" t="str" cm="1">
        <f t="array" ref="I174">code128(B174)</f>
        <v>Ì01Î</v>
      </c>
    </row>
    <row r="175" spans="1:9" x14ac:dyDescent="0.3">
      <c r="A175" s="4">
        <f>[1]Sheet!A175</f>
        <v>0</v>
      </c>
      <c r="B175" s="9">
        <f>HLOOKUP(B$1,[1]Sheet!$B$1:$AI$1754,175,0)</f>
        <v>0</v>
      </c>
      <c r="C175" s="9">
        <f>HLOOKUP(C$1,[1]Sheet!$B$1:$AI$1754,175,0)</f>
        <v>0</v>
      </c>
      <c r="D175" s="8">
        <f>HLOOKUP(D$1,[1]Sheet!$B$1:$AI$1754,175,0)</f>
        <v>0</v>
      </c>
      <c r="E175" s="8">
        <f>HLOOKUP(E$1,[1]Sheet!$B$1:$AI$1754,175,0)</f>
        <v>0</v>
      </c>
      <c r="F175" s="10">
        <f>HLOOKUP(F$1,[1]Sheet!$B$1:$AI$1754,175,0)</f>
        <v>0</v>
      </c>
      <c r="G175" s="8">
        <f>HLOOKUP(G$1,[1]Sheet!$B$1:$AI$1754,175,0)</f>
        <v>0</v>
      </c>
      <c r="H175" s="13">
        <f>IF(HLOOKUP(H$1,[1]Sheet!$B$1:$AI$1754,175,0)&lt;&gt;"999",HLOOKUP(H$1,[1]Sheet!$B$1:$AI$1754,175,0),"ESTOQUE")</f>
        <v>0</v>
      </c>
      <c r="I175" s="5" t="str" cm="1">
        <f t="array" ref="I175">code128(B175)</f>
        <v>Ì01Î</v>
      </c>
    </row>
    <row r="176" spans="1:9" x14ac:dyDescent="0.3">
      <c r="A176" s="4">
        <f>[1]Sheet!A176</f>
        <v>0</v>
      </c>
      <c r="B176" s="9">
        <f>HLOOKUP(B$1,[1]Sheet!$B$1:$AI$1754,176,0)</f>
        <v>0</v>
      </c>
      <c r="C176" s="9">
        <f>HLOOKUP(C$1,[1]Sheet!$B$1:$AI$1754,176,0)</f>
        <v>0</v>
      </c>
      <c r="D176" s="8">
        <f>HLOOKUP(D$1,[1]Sheet!$B$1:$AI$1754,176,0)</f>
        <v>0</v>
      </c>
      <c r="E176" s="8">
        <f>HLOOKUP(E$1,[1]Sheet!$B$1:$AI$1754,176,0)</f>
        <v>0</v>
      </c>
      <c r="F176" s="10">
        <f>HLOOKUP(F$1,[1]Sheet!$B$1:$AI$1754,176,0)</f>
        <v>0</v>
      </c>
      <c r="G176" s="8">
        <f>HLOOKUP(G$1,[1]Sheet!$B$1:$AI$1754,176,0)</f>
        <v>0</v>
      </c>
      <c r="H176" s="13">
        <f>IF(HLOOKUP(H$1,[1]Sheet!$B$1:$AI$1754,176,0)&lt;&gt;"999",HLOOKUP(H$1,[1]Sheet!$B$1:$AI$1754,176,0),"ESTOQUE")</f>
        <v>0</v>
      </c>
      <c r="I176" s="5" t="str" cm="1">
        <f t="array" ref="I176">code128(B176)</f>
        <v>Ì01Î</v>
      </c>
    </row>
    <row r="177" spans="1:9" x14ac:dyDescent="0.3">
      <c r="A177" s="4">
        <f>[1]Sheet!A177</f>
        <v>0</v>
      </c>
      <c r="B177" s="9">
        <f>HLOOKUP(B$1,[1]Sheet!$B$1:$AI$1754,177,0)</f>
        <v>0</v>
      </c>
      <c r="C177" s="9">
        <f>HLOOKUP(C$1,[1]Sheet!$B$1:$AI$1754,177,0)</f>
        <v>0</v>
      </c>
      <c r="D177" s="8">
        <f>HLOOKUP(D$1,[1]Sheet!$B$1:$AI$1754,177,0)</f>
        <v>0</v>
      </c>
      <c r="E177" s="8">
        <f>HLOOKUP(E$1,[1]Sheet!$B$1:$AI$1754,177,0)</f>
        <v>0</v>
      </c>
      <c r="F177" s="10">
        <f>HLOOKUP(F$1,[1]Sheet!$B$1:$AI$1754,177,0)</f>
        <v>0</v>
      </c>
      <c r="G177" s="8">
        <f>HLOOKUP(G$1,[1]Sheet!$B$1:$AI$1754,177,0)</f>
        <v>0</v>
      </c>
      <c r="H177" s="13">
        <f>IF(HLOOKUP(H$1,[1]Sheet!$B$1:$AI$1754,177,0)&lt;&gt;"999",HLOOKUP(H$1,[1]Sheet!$B$1:$AI$1754,177,0),"ESTOQUE")</f>
        <v>0</v>
      </c>
      <c r="I177" s="5" t="str" cm="1">
        <f t="array" ref="I177">code128(B177)</f>
        <v>Ì01Î</v>
      </c>
    </row>
    <row r="178" spans="1:9" x14ac:dyDescent="0.3">
      <c r="A178" s="4">
        <f>[1]Sheet!A178</f>
        <v>0</v>
      </c>
      <c r="B178" s="9">
        <f>HLOOKUP(B$1,[1]Sheet!$B$1:$AI$1754,178,0)</f>
        <v>0</v>
      </c>
      <c r="C178" s="9">
        <f>HLOOKUP(C$1,[1]Sheet!$B$1:$AI$1754,178,0)</f>
        <v>0</v>
      </c>
      <c r="D178" s="8">
        <f>HLOOKUP(D$1,[1]Sheet!$B$1:$AI$1754,178,0)</f>
        <v>0</v>
      </c>
      <c r="E178" s="8">
        <f>HLOOKUP(E$1,[1]Sheet!$B$1:$AI$1754,178,0)</f>
        <v>0</v>
      </c>
      <c r="F178" s="10">
        <f>HLOOKUP(F$1,[1]Sheet!$B$1:$AI$1754,178,0)</f>
        <v>0</v>
      </c>
      <c r="G178" s="8">
        <f>HLOOKUP(G$1,[1]Sheet!$B$1:$AI$1754,178,0)</f>
        <v>0</v>
      </c>
      <c r="H178" s="13">
        <f>IF(HLOOKUP(H$1,[1]Sheet!$B$1:$AI$1754,178,0)&lt;&gt;"999",HLOOKUP(H$1,[1]Sheet!$B$1:$AI$1754,178,0),"ESTOQUE")</f>
        <v>0</v>
      </c>
      <c r="I178" s="5" t="str" cm="1">
        <f t="array" ref="I178">code128(B178)</f>
        <v>Ì01Î</v>
      </c>
    </row>
    <row r="179" spans="1:9" x14ac:dyDescent="0.3">
      <c r="A179" s="4">
        <f>[1]Sheet!A179</f>
        <v>0</v>
      </c>
      <c r="B179" s="9">
        <f>HLOOKUP(B$1,[1]Sheet!$B$1:$AI$1754,179,0)</f>
        <v>0</v>
      </c>
      <c r="C179" s="9">
        <f>HLOOKUP(C$1,[1]Sheet!$B$1:$AI$1754,179,0)</f>
        <v>0</v>
      </c>
      <c r="D179" s="8">
        <f>HLOOKUP(D$1,[1]Sheet!$B$1:$AI$1754,179,0)</f>
        <v>0</v>
      </c>
      <c r="E179" s="8">
        <f>HLOOKUP(E$1,[1]Sheet!$B$1:$AI$1754,179,0)</f>
        <v>0</v>
      </c>
      <c r="F179" s="10">
        <f>HLOOKUP(F$1,[1]Sheet!$B$1:$AI$1754,179,0)</f>
        <v>0</v>
      </c>
      <c r="G179" s="8">
        <f>HLOOKUP(G$1,[1]Sheet!$B$1:$AI$1754,179,0)</f>
        <v>0</v>
      </c>
      <c r="H179" s="13">
        <f>IF(HLOOKUP(H$1,[1]Sheet!$B$1:$AI$1754,179,0)&lt;&gt;"999",HLOOKUP(H$1,[1]Sheet!$B$1:$AI$1754,179,0),"ESTOQUE")</f>
        <v>0</v>
      </c>
      <c r="I179" s="5" t="str" cm="1">
        <f t="array" ref="I179">code128(B179)</f>
        <v>Ì01Î</v>
      </c>
    </row>
    <row r="180" spans="1:9" x14ac:dyDescent="0.3">
      <c r="A180" s="4">
        <f>[1]Sheet!A180</f>
        <v>0</v>
      </c>
      <c r="B180" s="9">
        <f>HLOOKUP(B$1,[1]Sheet!$B$1:$AI$1754,180,0)</f>
        <v>0</v>
      </c>
      <c r="C180" s="9">
        <f>HLOOKUP(C$1,[1]Sheet!$B$1:$AI$1754,180,0)</f>
        <v>0</v>
      </c>
      <c r="D180" s="8">
        <f>HLOOKUP(D$1,[1]Sheet!$B$1:$AI$1754,180,0)</f>
        <v>0</v>
      </c>
      <c r="E180" s="8">
        <f>HLOOKUP(E$1,[1]Sheet!$B$1:$AI$1754,180,0)</f>
        <v>0</v>
      </c>
      <c r="F180" s="10">
        <f>HLOOKUP(F$1,[1]Sheet!$B$1:$AI$1754,180,0)</f>
        <v>0</v>
      </c>
      <c r="G180" s="8">
        <f>HLOOKUP(G$1,[1]Sheet!$B$1:$AI$1754,180,0)</f>
        <v>0</v>
      </c>
      <c r="H180" s="13">
        <f>IF(HLOOKUP(H$1,[1]Sheet!$B$1:$AI$1754,180,0)&lt;&gt;"999",HLOOKUP(H$1,[1]Sheet!$B$1:$AI$1754,180,0),"ESTOQUE")</f>
        <v>0</v>
      </c>
      <c r="I180" s="5" t="str" cm="1">
        <f t="array" ref="I180">code128(B180)</f>
        <v>Ì01Î</v>
      </c>
    </row>
    <row r="181" spans="1:9" x14ac:dyDescent="0.3">
      <c r="A181" s="4">
        <f>[1]Sheet!A181</f>
        <v>0</v>
      </c>
      <c r="B181" s="9">
        <f>HLOOKUP(B$1,[1]Sheet!$B$1:$AI$1754,181,0)</f>
        <v>0</v>
      </c>
      <c r="C181" s="9">
        <f>HLOOKUP(C$1,[1]Sheet!$B$1:$AI$1754,181,0)</f>
        <v>0</v>
      </c>
      <c r="D181" s="8">
        <f>HLOOKUP(D$1,[1]Sheet!$B$1:$AI$1754,181,0)</f>
        <v>0</v>
      </c>
      <c r="E181" s="8">
        <f>HLOOKUP(E$1,[1]Sheet!$B$1:$AI$1754,181,0)</f>
        <v>0</v>
      </c>
      <c r="F181" s="10">
        <f>HLOOKUP(F$1,[1]Sheet!$B$1:$AI$1754,181,0)</f>
        <v>0</v>
      </c>
      <c r="G181" s="8">
        <f>HLOOKUP(G$1,[1]Sheet!$B$1:$AI$1754,181,0)</f>
        <v>0</v>
      </c>
      <c r="H181" s="13">
        <f>IF(HLOOKUP(H$1,[1]Sheet!$B$1:$AI$1754,181,0)&lt;&gt;"999",HLOOKUP(H$1,[1]Sheet!$B$1:$AI$1754,181,0),"ESTOQUE")</f>
        <v>0</v>
      </c>
      <c r="I181" s="5" t="str" cm="1">
        <f t="array" ref="I181">code128(B181)</f>
        <v>Ì01Î</v>
      </c>
    </row>
    <row r="182" spans="1:9" x14ac:dyDescent="0.3">
      <c r="A182" s="4">
        <f>[1]Sheet!A182</f>
        <v>0</v>
      </c>
      <c r="B182" s="9">
        <f>HLOOKUP(B$1,[1]Sheet!$B$1:$AI$1754,182,0)</f>
        <v>0</v>
      </c>
      <c r="C182" s="9">
        <f>HLOOKUP(C$1,[1]Sheet!$B$1:$AI$1754,182,0)</f>
        <v>0</v>
      </c>
      <c r="D182" s="8">
        <f>HLOOKUP(D$1,[1]Sheet!$B$1:$AI$1754,182,0)</f>
        <v>0</v>
      </c>
      <c r="E182" s="8">
        <f>HLOOKUP(E$1,[1]Sheet!$B$1:$AI$1754,182,0)</f>
        <v>0</v>
      </c>
      <c r="F182" s="10">
        <f>HLOOKUP(F$1,[1]Sheet!$B$1:$AI$1754,182,0)</f>
        <v>0</v>
      </c>
      <c r="G182" s="8">
        <f>HLOOKUP(G$1,[1]Sheet!$B$1:$AI$1754,182,0)</f>
        <v>0</v>
      </c>
      <c r="H182" s="13">
        <f>IF(HLOOKUP(H$1,[1]Sheet!$B$1:$AI$1754,182,0)&lt;&gt;"999",HLOOKUP(H$1,[1]Sheet!$B$1:$AI$1754,182,0),"ESTOQUE")</f>
        <v>0</v>
      </c>
      <c r="I182" s="5" t="str" cm="1">
        <f t="array" ref="I182">code128(B182)</f>
        <v>Ì01Î</v>
      </c>
    </row>
    <row r="183" spans="1:9" x14ac:dyDescent="0.3">
      <c r="A183" s="4">
        <f>[1]Sheet!A183</f>
        <v>0</v>
      </c>
      <c r="B183" s="9">
        <f>HLOOKUP(B$1,[1]Sheet!$B$1:$AI$1754,183,0)</f>
        <v>0</v>
      </c>
      <c r="C183" s="9">
        <f>HLOOKUP(C$1,[1]Sheet!$B$1:$AI$1754,183,0)</f>
        <v>0</v>
      </c>
      <c r="D183" s="8">
        <f>HLOOKUP(D$1,[1]Sheet!$B$1:$AI$1754,183,0)</f>
        <v>0</v>
      </c>
      <c r="E183" s="8">
        <f>HLOOKUP(E$1,[1]Sheet!$B$1:$AI$1754,183,0)</f>
        <v>0</v>
      </c>
      <c r="F183" s="10">
        <f>HLOOKUP(F$1,[1]Sheet!$B$1:$AI$1754,183,0)</f>
        <v>0</v>
      </c>
      <c r="G183" s="8">
        <f>HLOOKUP(G$1,[1]Sheet!$B$1:$AI$1754,183,0)</f>
        <v>0</v>
      </c>
      <c r="H183" s="13">
        <f>IF(HLOOKUP(H$1,[1]Sheet!$B$1:$AI$1754,183,0)&lt;&gt;"999",HLOOKUP(H$1,[1]Sheet!$B$1:$AI$1754,183,0),"ESTOQUE")</f>
        <v>0</v>
      </c>
      <c r="I183" s="5" t="str" cm="1">
        <f t="array" ref="I183">code128(B183)</f>
        <v>Ì01Î</v>
      </c>
    </row>
    <row r="184" spans="1:9" x14ac:dyDescent="0.3">
      <c r="A184" s="4">
        <f>[1]Sheet!A184</f>
        <v>0</v>
      </c>
      <c r="B184" s="9">
        <f>HLOOKUP(B$1,[1]Sheet!$B$1:$AI$1754,184,0)</f>
        <v>0</v>
      </c>
      <c r="C184" s="9">
        <f>HLOOKUP(C$1,[1]Sheet!$B$1:$AI$1754,184,0)</f>
        <v>0</v>
      </c>
      <c r="D184" s="8">
        <f>HLOOKUP(D$1,[1]Sheet!$B$1:$AI$1754,184,0)</f>
        <v>0</v>
      </c>
      <c r="E184" s="8">
        <f>HLOOKUP(E$1,[1]Sheet!$B$1:$AI$1754,184,0)</f>
        <v>0</v>
      </c>
      <c r="F184" s="10">
        <f>HLOOKUP(F$1,[1]Sheet!$B$1:$AI$1754,184,0)</f>
        <v>0</v>
      </c>
      <c r="G184" s="8">
        <f>HLOOKUP(G$1,[1]Sheet!$B$1:$AI$1754,184,0)</f>
        <v>0</v>
      </c>
      <c r="H184" s="13">
        <f>IF(HLOOKUP(H$1,[1]Sheet!$B$1:$AI$1754,184,0)&lt;&gt;"999",HLOOKUP(H$1,[1]Sheet!$B$1:$AI$1754,184,0),"ESTOQUE")</f>
        <v>0</v>
      </c>
      <c r="I184" s="5" t="str" cm="1">
        <f t="array" ref="I184">code128(B184)</f>
        <v>Ì01Î</v>
      </c>
    </row>
    <row r="185" spans="1:9" x14ac:dyDescent="0.3">
      <c r="A185" s="4">
        <f>[1]Sheet!A185</f>
        <v>0</v>
      </c>
      <c r="B185" s="9">
        <f>HLOOKUP(B$1,[1]Sheet!$B$1:$AI$1754,185,0)</f>
        <v>0</v>
      </c>
      <c r="C185" s="9">
        <f>HLOOKUP(C$1,[1]Sheet!$B$1:$AI$1754,185,0)</f>
        <v>0</v>
      </c>
      <c r="D185" s="8">
        <f>HLOOKUP(D$1,[1]Sheet!$B$1:$AI$1754,185,0)</f>
        <v>0</v>
      </c>
      <c r="E185" s="8">
        <f>HLOOKUP(E$1,[1]Sheet!$B$1:$AI$1754,185,0)</f>
        <v>0</v>
      </c>
      <c r="F185" s="10">
        <f>HLOOKUP(F$1,[1]Sheet!$B$1:$AI$1754,185,0)</f>
        <v>0</v>
      </c>
      <c r="G185" s="8">
        <f>HLOOKUP(G$1,[1]Sheet!$B$1:$AI$1754,185,0)</f>
        <v>0</v>
      </c>
      <c r="H185" s="13">
        <f>IF(HLOOKUP(H$1,[1]Sheet!$B$1:$AI$1754,185,0)&lt;&gt;"999",HLOOKUP(H$1,[1]Sheet!$B$1:$AI$1754,185,0),"ESTOQUE")</f>
        <v>0</v>
      </c>
      <c r="I185" s="5" t="str" cm="1">
        <f t="array" ref="I185">code128(B185)</f>
        <v>Ì01Î</v>
      </c>
    </row>
    <row r="186" spans="1:9" x14ac:dyDescent="0.3">
      <c r="A186" s="4">
        <f>[1]Sheet!A186</f>
        <v>0</v>
      </c>
      <c r="B186" s="9">
        <f>HLOOKUP(B$1,[1]Sheet!$B$1:$AI$1754,186,0)</f>
        <v>0</v>
      </c>
      <c r="C186" s="9">
        <f>HLOOKUP(C$1,[1]Sheet!$B$1:$AI$1754,186,0)</f>
        <v>0</v>
      </c>
      <c r="D186" s="8">
        <f>HLOOKUP(D$1,[1]Sheet!$B$1:$AI$1754,186,0)</f>
        <v>0</v>
      </c>
      <c r="E186" s="8">
        <f>HLOOKUP(E$1,[1]Sheet!$B$1:$AI$1754,186,0)</f>
        <v>0</v>
      </c>
      <c r="F186" s="10">
        <f>HLOOKUP(F$1,[1]Sheet!$B$1:$AI$1754,186,0)</f>
        <v>0</v>
      </c>
      <c r="G186" s="8">
        <f>HLOOKUP(G$1,[1]Sheet!$B$1:$AI$1754,186,0)</f>
        <v>0</v>
      </c>
      <c r="H186" s="13">
        <f>IF(HLOOKUP(H$1,[1]Sheet!$B$1:$AI$1754,186,0)&lt;&gt;"999",HLOOKUP(H$1,[1]Sheet!$B$1:$AI$1754,186,0),"ESTOQUE")</f>
        <v>0</v>
      </c>
      <c r="I186" s="5" t="str" cm="1">
        <f t="array" ref="I186">code128(B186)</f>
        <v>Ì01Î</v>
      </c>
    </row>
    <row r="187" spans="1:9" x14ac:dyDescent="0.3">
      <c r="A187" s="4">
        <f>[1]Sheet!A187</f>
        <v>0</v>
      </c>
      <c r="B187" s="9">
        <f>HLOOKUP(B$1,[1]Sheet!$B$1:$AI$1754,187,0)</f>
        <v>0</v>
      </c>
      <c r="C187" s="9">
        <f>HLOOKUP(C$1,[1]Sheet!$B$1:$AI$1754,187,0)</f>
        <v>0</v>
      </c>
      <c r="D187" s="8">
        <f>HLOOKUP(D$1,[1]Sheet!$B$1:$AI$1754,187,0)</f>
        <v>0</v>
      </c>
      <c r="E187" s="8">
        <f>HLOOKUP(E$1,[1]Sheet!$B$1:$AI$1754,187,0)</f>
        <v>0</v>
      </c>
      <c r="F187" s="10">
        <f>HLOOKUP(F$1,[1]Sheet!$B$1:$AI$1754,187,0)</f>
        <v>0</v>
      </c>
      <c r="G187" s="8">
        <f>HLOOKUP(G$1,[1]Sheet!$B$1:$AI$1754,187,0)</f>
        <v>0</v>
      </c>
      <c r="H187" s="13">
        <f>IF(HLOOKUP(H$1,[1]Sheet!$B$1:$AI$1754,187,0)&lt;&gt;"999",HLOOKUP(H$1,[1]Sheet!$B$1:$AI$1754,187,0),"ESTOQUE")</f>
        <v>0</v>
      </c>
      <c r="I187" s="5" t="str" cm="1">
        <f t="array" ref="I187">code128(B187)</f>
        <v>Ì01Î</v>
      </c>
    </row>
    <row r="188" spans="1:9" x14ac:dyDescent="0.3">
      <c r="A188" s="4">
        <f>[1]Sheet!A188</f>
        <v>0</v>
      </c>
      <c r="B188" s="9">
        <f>HLOOKUP(B$1,[1]Sheet!$B$1:$AI$1754,188,0)</f>
        <v>0</v>
      </c>
      <c r="C188" s="9">
        <f>HLOOKUP(C$1,[1]Sheet!$B$1:$AI$1754,188,0)</f>
        <v>0</v>
      </c>
      <c r="D188" s="8">
        <f>HLOOKUP(D$1,[1]Sheet!$B$1:$AI$1754,188,0)</f>
        <v>0</v>
      </c>
      <c r="E188" s="8">
        <f>HLOOKUP(E$1,[1]Sheet!$B$1:$AI$1754,188,0)</f>
        <v>0</v>
      </c>
      <c r="F188" s="10">
        <f>HLOOKUP(F$1,[1]Sheet!$B$1:$AI$1754,188,0)</f>
        <v>0</v>
      </c>
      <c r="G188" s="8">
        <f>HLOOKUP(G$1,[1]Sheet!$B$1:$AI$1754,188,0)</f>
        <v>0</v>
      </c>
      <c r="H188" s="13">
        <f>IF(HLOOKUP(H$1,[1]Sheet!$B$1:$AI$1754,188,0)&lt;&gt;"999",HLOOKUP(H$1,[1]Sheet!$B$1:$AI$1754,188,0),"ESTOQUE")</f>
        <v>0</v>
      </c>
      <c r="I188" s="5" t="str" cm="1">
        <f t="array" ref="I188">code128(B188)</f>
        <v>Ì01Î</v>
      </c>
    </row>
    <row r="189" spans="1:9" x14ac:dyDescent="0.3">
      <c r="A189" s="4">
        <f>[1]Sheet!A189</f>
        <v>0</v>
      </c>
      <c r="B189" s="9">
        <f>HLOOKUP(B$1,[1]Sheet!$B$1:$AI$1754,189,0)</f>
        <v>0</v>
      </c>
      <c r="C189" s="9">
        <f>HLOOKUP(C$1,[1]Sheet!$B$1:$AI$1754,189,0)</f>
        <v>0</v>
      </c>
      <c r="D189" s="8">
        <f>HLOOKUP(D$1,[1]Sheet!$B$1:$AI$1754,189,0)</f>
        <v>0</v>
      </c>
      <c r="E189" s="8">
        <f>HLOOKUP(E$1,[1]Sheet!$B$1:$AI$1754,189,0)</f>
        <v>0</v>
      </c>
      <c r="F189" s="10">
        <f>HLOOKUP(F$1,[1]Sheet!$B$1:$AI$1754,189,0)</f>
        <v>0</v>
      </c>
      <c r="G189" s="8">
        <f>HLOOKUP(G$1,[1]Sheet!$B$1:$AI$1754,189,0)</f>
        <v>0</v>
      </c>
      <c r="H189" s="13">
        <f>IF(HLOOKUP(H$1,[1]Sheet!$B$1:$AI$1754,189,0)&lt;&gt;"999",HLOOKUP(H$1,[1]Sheet!$B$1:$AI$1754,189,0),"ESTOQUE")</f>
        <v>0</v>
      </c>
      <c r="I189" s="5" t="str" cm="1">
        <f t="array" ref="I189">code128(B189)</f>
        <v>Ì01Î</v>
      </c>
    </row>
    <row r="190" spans="1:9" x14ac:dyDescent="0.3">
      <c r="A190" s="4">
        <f>[1]Sheet!A190</f>
        <v>0</v>
      </c>
      <c r="B190" s="9">
        <f>HLOOKUP(B$1,[1]Sheet!$B$1:$AI$1754,190,0)</f>
        <v>0</v>
      </c>
      <c r="C190" s="9">
        <f>HLOOKUP(C$1,[1]Sheet!$B$1:$AI$1754,190,0)</f>
        <v>0</v>
      </c>
      <c r="D190" s="8">
        <f>HLOOKUP(D$1,[1]Sheet!$B$1:$AI$1754,190,0)</f>
        <v>0</v>
      </c>
      <c r="E190" s="8">
        <f>HLOOKUP(E$1,[1]Sheet!$B$1:$AI$1754,190,0)</f>
        <v>0</v>
      </c>
      <c r="F190" s="10">
        <f>HLOOKUP(F$1,[1]Sheet!$B$1:$AI$1754,190,0)</f>
        <v>0</v>
      </c>
      <c r="G190" s="8">
        <f>HLOOKUP(G$1,[1]Sheet!$B$1:$AI$1754,190,0)</f>
        <v>0</v>
      </c>
      <c r="H190" s="13">
        <f>IF(HLOOKUP(H$1,[1]Sheet!$B$1:$AI$1754,190,0)&lt;&gt;"999",HLOOKUP(H$1,[1]Sheet!$B$1:$AI$1754,190,0),"ESTOQUE")</f>
        <v>0</v>
      </c>
      <c r="I190" s="5" t="str" cm="1">
        <f t="array" ref="I190">code128(B190)</f>
        <v>Ì01Î</v>
      </c>
    </row>
    <row r="191" spans="1:9" x14ac:dyDescent="0.3">
      <c r="A191" s="4">
        <f>[1]Sheet!A191</f>
        <v>0</v>
      </c>
      <c r="B191" s="9">
        <f>HLOOKUP(B$1,[1]Sheet!$B$1:$AI$1754,191,0)</f>
        <v>0</v>
      </c>
      <c r="C191" s="9">
        <f>HLOOKUP(C$1,[1]Sheet!$B$1:$AI$1754,191,0)</f>
        <v>0</v>
      </c>
      <c r="D191" s="8">
        <f>HLOOKUP(D$1,[1]Sheet!$B$1:$AI$1754,191,0)</f>
        <v>0</v>
      </c>
      <c r="E191" s="8">
        <f>HLOOKUP(E$1,[1]Sheet!$B$1:$AI$1754,191,0)</f>
        <v>0</v>
      </c>
      <c r="F191" s="10">
        <f>HLOOKUP(F$1,[1]Sheet!$B$1:$AI$1754,191,0)</f>
        <v>0</v>
      </c>
      <c r="G191" s="8">
        <f>HLOOKUP(G$1,[1]Sheet!$B$1:$AI$1754,191,0)</f>
        <v>0</v>
      </c>
      <c r="H191" s="13">
        <f>IF(HLOOKUP(H$1,[1]Sheet!$B$1:$AI$1754,191,0)&lt;&gt;"999",HLOOKUP(H$1,[1]Sheet!$B$1:$AI$1754,191,0),"ESTOQUE")</f>
        <v>0</v>
      </c>
      <c r="I191" s="5" t="str" cm="1">
        <f t="array" ref="I191">code128(B191)</f>
        <v>Ì01Î</v>
      </c>
    </row>
    <row r="192" spans="1:9" x14ac:dyDescent="0.3">
      <c r="A192" s="4">
        <f>[1]Sheet!A192</f>
        <v>0</v>
      </c>
      <c r="B192" s="9">
        <f>HLOOKUP(B$1,[1]Sheet!$B$1:$AI$1754,192,0)</f>
        <v>0</v>
      </c>
      <c r="C192" s="9">
        <f>HLOOKUP(C$1,[1]Sheet!$B$1:$AI$1754,192,0)</f>
        <v>0</v>
      </c>
      <c r="D192" s="8">
        <f>HLOOKUP(D$1,[1]Sheet!$B$1:$AI$1754,192,0)</f>
        <v>0</v>
      </c>
      <c r="E192" s="8">
        <f>HLOOKUP(E$1,[1]Sheet!$B$1:$AI$1754,192,0)</f>
        <v>0</v>
      </c>
      <c r="F192" s="10">
        <f>HLOOKUP(F$1,[1]Sheet!$B$1:$AI$1754,192,0)</f>
        <v>0</v>
      </c>
      <c r="G192" s="8">
        <f>HLOOKUP(G$1,[1]Sheet!$B$1:$AI$1754,192,0)</f>
        <v>0</v>
      </c>
      <c r="H192" s="13">
        <f>IF(HLOOKUP(H$1,[1]Sheet!$B$1:$AI$1754,192,0)&lt;&gt;"999",HLOOKUP(H$1,[1]Sheet!$B$1:$AI$1754,192,0),"ESTOQUE")</f>
        <v>0</v>
      </c>
      <c r="I192" s="5" t="str" cm="1">
        <f t="array" ref="I192">code128(B192)</f>
        <v>Ì01Î</v>
      </c>
    </row>
    <row r="193" spans="1:9" x14ac:dyDescent="0.3">
      <c r="A193" s="4">
        <f>[1]Sheet!A193</f>
        <v>0</v>
      </c>
      <c r="B193" s="9">
        <f>HLOOKUP(B$1,[1]Sheet!$B$1:$AI$1754,193,0)</f>
        <v>0</v>
      </c>
      <c r="C193" s="9">
        <f>HLOOKUP(C$1,[1]Sheet!$B$1:$AI$1754,193,0)</f>
        <v>0</v>
      </c>
      <c r="D193" s="8">
        <f>HLOOKUP(D$1,[1]Sheet!$B$1:$AI$1754,193,0)</f>
        <v>0</v>
      </c>
      <c r="E193" s="8">
        <f>HLOOKUP(E$1,[1]Sheet!$B$1:$AI$1754,193,0)</f>
        <v>0</v>
      </c>
      <c r="F193" s="10">
        <f>HLOOKUP(F$1,[1]Sheet!$B$1:$AI$1754,193,0)</f>
        <v>0</v>
      </c>
      <c r="G193" s="8">
        <f>HLOOKUP(G$1,[1]Sheet!$B$1:$AI$1754,193,0)</f>
        <v>0</v>
      </c>
      <c r="H193" s="13">
        <f>IF(HLOOKUP(H$1,[1]Sheet!$B$1:$AI$1754,193,0)&lt;&gt;"999",HLOOKUP(H$1,[1]Sheet!$B$1:$AI$1754,193,0),"ESTOQUE")</f>
        <v>0</v>
      </c>
      <c r="I193" s="5" t="str" cm="1">
        <f t="array" ref="I193">code128(B193)</f>
        <v>Ì01Î</v>
      </c>
    </row>
    <row r="194" spans="1:9" x14ac:dyDescent="0.3">
      <c r="A194" s="4">
        <f>[1]Sheet!A194</f>
        <v>0</v>
      </c>
      <c r="B194" s="9">
        <f>HLOOKUP(B$1,[1]Sheet!$B$1:$AI$1754,194,0)</f>
        <v>0</v>
      </c>
      <c r="C194" s="9">
        <f>HLOOKUP(C$1,[1]Sheet!$B$1:$AI$1754,194,0)</f>
        <v>0</v>
      </c>
      <c r="D194" s="8">
        <f>HLOOKUP(D$1,[1]Sheet!$B$1:$AI$1754,194,0)</f>
        <v>0</v>
      </c>
      <c r="E194" s="8">
        <f>HLOOKUP(E$1,[1]Sheet!$B$1:$AI$1754,194,0)</f>
        <v>0</v>
      </c>
      <c r="F194" s="10">
        <f>HLOOKUP(F$1,[1]Sheet!$B$1:$AI$1754,194,0)</f>
        <v>0</v>
      </c>
      <c r="G194" s="8">
        <f>HLOOKUP(G$1,[1]Sheet!$B$1:$AI$1754,194,0)</f>
        <v>0</v>
      </c>
      <c r="H194" s="13">
        <f>IF(HLOOKUP(H$1,[1]Sheet!$B$1:$AI$1754,194,0)&lt;&gt;"999",HLOOKUP(H$1,[1]Sheet!$B$1:$AI$1754,194,0),"ESTOQUE")</f>
        <v>0</v>
      </c>
      <c r="I194" s="5" t="str" cm="1">
        <f t="array" ref="I194">code128(B194)</f>
        <v>Ì01Î</v>
      </c>
    </row>
    <row r="195" spans="1:9" x14ac:dyDescent="0.3">
      <c r="A195" s="4">
        <f>[1]Sheet!A195</f>
        <v>0</v>
      </c>
      <c r="B195" s="9">
        <f>HLOOKUP(B$1,[1]Sheet!$B$1:$AI$1754,195,0)</f>
        <v>0</v>
      </c>
      <c r="C195" s="9">
        <f>HLOOKUP(C$1,[1]Sheet!$B$1:$AI$1754,195,0)</f>
        <v>0</v>
      </c>
      <c r="D195" s="8">
        <f>HLOOKUP(D$1,[1]Sheet!$B$1:$AI$1754,195,0)</f>
        <v>0</v>
      </c>
      <c r="E195" s="8">
        <f>HLOOKUP(E$1,[1]Sheet!$B$1:$AI$1754,195,0)</f>
        <v>0</v>
      </c>
      <c r="F195" s="10">
        <f>HLOOKUP(F$1,[1]Sheet!$B$1:$AI$1754,195,0)</f>
        <v>0</v>
      </c>
      <c r="G195" s="8">
        <f>HLOOKUP(G$1,[1]Sheet!$B$1:$AI$1754,195,0)</f>
        <v>0</v>
      </c>
      <c r="H195" s="13">
        <f>IF(HLOOKUP(H$1,[1]Sheet!$B$1:$AI$1754,195,0)&lt;&gt;"999",HLOOKUP(H$1,[1]Sheet!$B$1:$AI$1754,195,0),"ESTOQUE")</f>
        <v>0</v>
      </c>
      <c r="I195" s="5" t="str" cm="1">
        <f t="array" ref="I195">code128(B195)</f>
        <v>Ì01Î</v>
      </c>
    </row>
    <row r="196" spans="1:9" x14ac:dyDescent="0.3">
      <c r="A196" s="4">
        <f>[1]Sheet!A196</f>
        <v>0</v>
      </c>
      <c r="B196" s="9">
        <f>HLOOKUP(B$1,[1]Sheet!$B$1:$AI$1754,196,0)</f>
        <v>0</v>
      </c>
      <c r="C196" s="9">
        <f>HLOOKUP(C$1,[1]Sheet!$B$1:$AI$1754,196,0)</f>
        <v>0</v>
      </c>
      <c r="D196" s="8">
        <f>HLOOKUP(D$1,[1]Sheet!$B$1:$AI$1754,196,0)</f>
        <v>0</v>
      </c>
      <c r="E196" s="8">
        <f>HLOOKUP(E$1,[1]Sheet!$B$1:$AI$1754,196,0)</f>
        <v>0</v>
      </c>
      <c r="F196" s="10">
        <f>HLOOKUP(F$1,[1]Sheet!$B$1:$AI$1754,196,0)</f>
        <v>0</v>
      </c>
      <c r="G196" s="8">
        <f>HLOOKUP(G$1,[1]Sheet!$B$1:$AI$1754,196,0)</f>
        <v>0</v>
      </c>
      <c r="H196" s="13">
        <f>IF(HLOOKUP(H$1,[1]Sheet!$B$1:$AI$1754,196,0)&lt;&gt;"999",HLOOKUP(H$1,[1]Sheet!$B$1:$AI$1754,196,0),"ESTOQUE")</f>
        <v>0</v>
      </c>
      <c r="I196" s="5" t="str" cm="1">
        <f t="array" ref="I196">code128(B196)</f>
        <v>Ì01Î</v>
      </c>
    </row>
    <row r="197" spans="1:9" x14ac:dyDescent="0.3">
      <c r="A197" s="4">
        <f>[1]Sheet!A197</f>
        <v>0</v>
      </c>
      <c r="B197" s="9">
        <f>HLOOKUP(B$1,[1]Sheet!$B$1:$AI$1754,197,0)</f>
        <v>0</v>
      </c>
      <c r="C197" s="9">
        <f>HLOOKUP(C$1,[1]Sheet!$B$1:$AI$1754,197,0)</f>
        <v>0</v>
      </c>
      <c r="D197" s="8">
        <f>HLOOKUP(D$1,[1]Sheet!$B$1:$AI$1754,197,0)</f>
        <v>0</v>
      </c>
      <c r="E197" s="8">
        <f>HLOOKUP(E$1,[1]Sheet!$B$1:$AI$1754,197,0)</f>
        <v>0</v>
      </c>
      <c r="F197" s="10">
        <f>HLOOKUP(F$1,[1]Sheet!$B$1:$AI$1754,197,0)</f>
        <v>0</v>
      </c>
      <c r="G197" s="8">
        <f>HLOOKUP(G$1,[1]Sheet!$B$1:$AI$1754,197,0)</f>
        <v>0</v>
      </c>
      <c r="H197" s="13">
        <f>IF(HLOOKUP(H$1,[1]Sheet!$B$1:$AI$1754,197,0)&lt;&gt;"999",HLOOKUP(H$1,[1]Sheet!$B$1:$AI$1754,197,0),"ESTOQUE")</f>
        <v>0</v>
      </c>
      <c r="I197" s="5" t="str" cm="1">
        <f t="array" ref="I197">code128(B197)</f>
        <v>Ì01Î</v>
      </c>
    </row>
    <row r="198" spans="1:9" x14ac:dyDescent="0.3">
      <c r="A198" s="4">
        <f>[1]Sheet!A198</f>
        <v>0</v>
      </c>
      <c r="B198" s="9">
        <f>HLOOKUP(B$1,[1]Sheet!$B$1:$AI$1754,198,0)</f>
        <v>0</v>
      </c>
      <c r="C198" s="9">
        <f>HLOOKUP(C$1,[1]Sheet!$B$1:$AI$1754,198,0)</f>
        <v>0</v>
      </c>
      <c r="D198" s="8">
        <f>HLOOKUP(D$1,[1]Sheet!$B$1:$AI$1754,198,0)</f>
        <v>0</v>
      </c>
      <c r="E198" s="8">
        <f>HLOOKUP(E$1,[1]Sheet!$B$1:$AI$1754,198,0)</f>
        <v>0</v>
      </c>
      <c r="F198" s="10">
        <f>HLOOKUP(F$1,[1]Sheet!$B$1:$AI$1754,198,0)</f>
        <v>0</v>
      </c>
      <c r="G198" s="8">
        <f>HLOOKUP(G$1,[1]Sheet!$B$1:$AI$1754,198,0)</f>
        <v>0</v>
      </c>
      <c r="H198" s="13">
        <f>IF(HLOOKUP(H$1,[1]Sheet!$B$1:$AI$1754,198,0)&lt;&gt;"999",HLOOKUP(H$1,[1]Sheet!$B$1:$AI$1754,198,0),"ESTOQUE")</f>
        <v>0</v>
      </c>
      <c r="I198" s="5" t="str" cm="1">
        <f t="array" ref="I198">code128(B198)</f>
        <v>Ì01Î</v>
      </c>
    </row>
    <row r="199" spans="1:9" x14ac:dyDescent="0.3">
      <c r="A199" s="4">
        <f>[1]Sheet!A199</f>
        <v>0</v>
      </c>
      <c r="B199" s="9">
        <f>HLOOKUP(B$1,[1]Sheet!$B$1:$AI$1754,199,0)</f>
        <v>0</v>
      </c>
      <c r="C199" s="9">
        <f>HLOOKUP(C$1,[1]Sheet!$B$1:$AI$1754,199,0)</f>
        <v>0</v>
      </c>
      <c r="D199" s="8">
        <f>HLOOKUP(D$1,[1]Sheet!$B$1:$AI$1754,199,0)</f>
        <v>0</v>
      </c>
      <c r="E199" s="8">
        <f>HLOOKUP(E$1,[1]Sheet!$B$1:$AI$1754,199,0)</f>
        <v>0</v>
      </c>
      <c r="F199" s="10">
        <f>HLOOKUP(F$1,[1]Sheet!$B$1:$AI$1754,199,0)</f>
        <v>0</v>
      </c>
      <c r="G199" s="8">
        <f>HLOOKUP(G$1,[1]Sheet!$B$1:$AI$1754,199,0)</f>
        <v>0</v>
      </c>
      <c r="H199" s="13">
        <f>IF(HLOOKUP(H$1,[1]Sheet!$B$1:$AI$1754,199,0)&lt;&gt;"999",HLOOKUP(H$1,[1]Sheet!$B$1:$AI$1754,199,0),"ESTOQUE")</f>
        <v>0</v>
      </c>
      <c r="I199" s="5" t="str" cm="1">
        <f t="array" ref="I199">code128(B199)</f>
        <v>Ì01Î</v>
      </c>
    </row>
    <row r="200" spans="1:9" x14ac:dyDescent="0.3">
      <c r="A200" s="4">
        <f>[1]Sheet!A200</f>
        <v>0</v>
      </c>
      <c r="B200" s="9">
        <f>HLOOKUP(B$1,[1]Sheet!$B$1:$AI$1754,200,0)</f>
        <v>0</v>
      </c>
      <c r="C200" s="9">
        <f>HLOOKUP(C$1,[1]Sheet!$B$1:$AI$1754,200,0)</f>
        <v>0</v>
      </c>
      <c r="D200" s="8">
        <f>HLOOKUP(D$1,[1]Sheet!$B$1:$AI$1754,200,0)</f>
        <v>0</v>
      </c>
      <c r="E200" s="8">
        <f>HLOOKUP(E$1,[1]Sheet!$B$1:$AI$1754,200,0)</f>
        <v>0</v>
      </c>
      <c r="F200" s="10">
        <f>HLOOKUP(F$1,[1]Sheet!$B$1:$AI$1754,200,0)</f>
        <v>0</v>
      </c>
      <c r="G200" s="8">
        <f>HLOOKUP(G$1,[1]Sheet!$B$1:$AI$1754,200,0)</f>
        <v>0</v>
      </c>
      <c r="H200" s="13">
        <f>IF(HLOOKUP(H$1,[1]Sheet!$B$1:$AI$1754,200,0)&lt;&gt;"999",HLOOKUP(H$1,[1]Sheet!$B$1:$AI$1754,200,0),"ESTOQUE")</f>
        <v>0</v>
      </c>
      <c r="I200" s="5" t="str" cm="1">
        <f t="array" ref="I200">code128(B200)</f>
        <v>Ì01Î</v>
      </c>
    </row>
    <row r="201" spans="1:9" x14ac:dyDescent="0.3">
      <c r="A201" s="7">
        <f>[1]Sheet!A201</f>
        <v>0</v>
      </c>
      <c r="B201" s="9">
        <f>HLOOKUP(B$1,[1]Sheet!$B$1:$AI$1754,201,0)</f>
        <v>0</v>
      </c>
      <c r="C201" s="9">
        <f>HLOOKUP(C$1,[1]Sheet!$B$1:$AI$1754,201,0)</f>
        <v>0</v>
      </c>
      <c r="D201" s="8">
        <f>HLOOKUP(D$1,[1]Sheet!$B$1:$AI$1754,201,0)</f>
        <v>0</v>
      </c>
      <c r="E201" s="8">
        <f>HLOOKUP(E$1,[1]Sheet!$B$1:$AI$1754,201,0)</f>
        <v>0</v>
      </c>
      <c r="F201" s="10">
        <f>HLOOKUP(F$1,[1]Sheet!$B$1:$AI$1754,201,0)</f>
        <v>0</v>
      </c>
      <c r="G201" s="8">
        <f>HLOOKUP(G$1,[1]Sheet!$B$1:$AI$1754,201,0)</f>
        <v>0</v>
      </c>
      <c r="H201" s="13">
        <f>IF(HLOOKUP(H$1,[1]Sheet!$B$1:$AI$1754,201,0)&lt;&gt;"999",HLOOKUP(H$1,[1]Sheet!$B$1:$AI$1754,201,0),"ESTOQUE")</f>
        <v>0</v>
      </c>
      <c r="I201" s="5" t="str" cm="1">
        <f t="array" ref="I201">code128(B201)</f>
        <v>Ì01Î</v>
      </c>
    </row>
    <row r="202" spans="1:9" x14ac:dyDescent="0.3">
      <c r="A202" s="7">
        <f>[1]Sheet!A202</f>
        <v>0</v>
      </c>
      <c r="B202" s="9">
        <f>HLOOKUP(B$1,[1]Sheet!$B$1:$AI$1754,202,0)</f>
        <v>0</v>
      </c>
      <c r="C202" s="9">
        <f>HLOOKUP(C$1,[1]Sheet!$B$1:$AI$1754,202,0)</f>
        <v>0</v>
      </c>
      <c r="D202" s="8">
        <f>HLOOKUP(D$1,[1]Sheet!$B$1:$AI$1754,202,0)</f>
        <v>0</v>
      </c>
      <c r="E202" s="8">
        <f>HLOOKUP(E$1,[1]Sheet!$B$1:$AI$1754,202,0)</f>
        <v>0</v>
      </c>
      <c r="F202" s="10">
        <f>HLOOKUP(F$1,[1]Sheet!$B$1:$AI$1754,202,0)</f>
        <v>0</v>
      </c>
      <c r="G202" s="8">
        <f>HLOOKUP(G$1,[1]Sheet!$B$1:$AI$1754,202,0)</f>
        <v>0</v>
      </c>
      <c r="H202" s="13">
        <f>IF(HLOOKUP(H$1,[1]Sheet!$B$1:$AI$1754,202,0)&lt;&gt;"999",HLOOKUP(H$1,[1]Sheet!$B$1:$AI$1754,202,0),"ESTOQUE")</f>
        <v>0</v>
      </c>
      <c r="I202" s="5" t="str" cm="1">
        <f t="array" ref="I202">code128(B202)</f>
        <v>Ì01Î</v>
      </c>
    </row>
    <row r="203" spans="1:9" x14ac:dyDescent="0.3">
      <c r="A203" s="7">
        <f>[1]Sheet!A203</f>
        <v>0</v>
      </c>
      <c r="B203" s="9">
        <f>HLOOKUP(B$1,[1]Sheet!$B$1:$AI$1754,203,0)</f>
        <v>0</v>
      </c>
      <c r="C203" s="9">
        <f>HLOOKUP(C$1,[1]Sheet!$B$1:$AI$1754,203,0)</f>
        <v>0</v>
      </c>
      <c r="D203" s="8">
        <f>HLOOKUP(D$1,[1]Sheet!$B$1:$AI$1754,203,0)</f>
        <v>0</v>
      </c>
      <c r="E203" s="8">
        <f>HLOOKUP(E$1,[1]Sheet!$B$1:$AI$1754,203,0)</f>
        <v>0</v>
      </c>
      <c r="F203" s="10">
        <f>HLOOKUP(F$1,[1]Sheet!$B$1:$AI$1754,203,0)</f>
        <v>0</v>
      </c>
      <c r="G203" s="8">
        <f>HLOOKUP(G$1,[1]Sheet!$B$1:$AI$1754,203,0)</f>
        <v>0</v>
      </c>
      <c r="H203" s="13">
        <f>IF(HLOOKUP(H$1,[1]Sheet!$B$1:$AI$1754,203,0)&lt;&gt;"999",HLOOKUP(H$1,[1]Sheet!$B$1:$AI$1754,203,0),"ESTOQUE")</f>
        <v>0</v>
      </c>
      <c r="I203" s="5" t="str" cm="1">
        <f t="array" ref="I203">code128(B203)</f>
        <v>Ì01Î</v>
      </c>
    </row>
    <row r="204" spans="1:9" x14ac:dyDescent="0.3">
      <c r="A204" s="7">
        <f>[1]Sheet!A204</f>
        <v>0</v>
      </c>
      <c r="B204" s="9">
        <f>HLOOKUP(B$1,[1]Sheet!$B$1:$AI$1754,204,0)</f>
        <v>0</v>
      </c>
      <c r="C204" s="9">
        <f>HLOOKUP(C$1,[1]Sheet!$B$1:$AI$1754,204,0)</f>
        <v>0</v>
      </c>
      <c r="D204" s="8">
        <f>HLOOKUP(D$1,[1]Sheet!$B$1:$AI$1754,204,0)</f>
        <v>0</v>
      </c>
      <c r="E204" s="8">
        <f>HLOOKUP(E$1,[1]Sheet!$B$1:$AI$1754,204,0)</f>
        <v>0</v>
      </c>
      <c r="F204" s="10">
        <f>HLOOKUP(F$1,[1]Sheet!$B$1:$AI$1754,204,0)</f>
        <v>0</v>
      </c>
      <c r="G204" s="8">
        <f>HLOOKUP(G$1,[1]Sheet!$B$1:$AI$1754,204,0)</f>
        <v>0</v>
      </c>
      <c r="H204" s="13">
        <f>IF(HLOOKUP(H$1,[1]Sheet!$B$1:$AI$1754,204,0)&lt;&gt;"999",HLOOKUP(H$1,[1]Sheet!$B$1:$AI$1754,204,0),"ESTOQUE")</f>
        <v>0</v>
      </c>
      <c r="I204" s="5" t="str" cm="1">
        <f t="array" ref="I204">code128(B204)</f>
        <v>Ì01Î</v>
      </c>
    </row>
    <row r="205" spans="1:9" x14ac:dyDescent="0.3">
      <c r="A205" s="7">
        <f>[1]Sheet!A205</f>
        <v>0</v>
      </c>
      <c r="B205" s="9">
        <f>HLOOKUP(B$1,[1]Sheet!$B$1:$AI$1754,205,0)</f>
        <v>0</v>
      </c>
      <c r="C205" s="9">
        <f>HLOOKUP(C$1,[1]Sheet!$B$1:$AI$1754,205,0)</f>
        <v>0</v>
      </c>
      <c r="D205" s="8">
        <f>HLOOKUP(D$1,[1]Sheet!$B$1:$AI$1754,205,0)</f>
        <v>0</v>
      </c>
      <c r="E205" s="8">
        <f>HLOOKUP(E$1,[1]Sheet!$B$1:$AI$1754,205,0)</f>
        <v>0</v>
      </c>
      <c r="F205" s="10">
        <f>HLOOKUP(F$1,[1]Sheet!$B$1:$AI$1754,205,0)</f>
        <v>0</v>
      </c>
      <c r="G205" s="8">
        <f>HLOOKUP(G$1,[1]Sheet!$B$1:$AI$1754,205,0)</f>
        <v>0</v>
      </c>
      <c r="H205" s="13">
        <f>IF(HLOOKUP(H$1,[1]Sheet!$B$1:$AI$1754,205,0)&lt;&gt;"999",HLOOKUP(H$1,[1]Sheet!$B$1:$AI$1754,205,0),"ESTOQUE")</f>
        <v>0</v>
      </c>
      <c r="I205" s="5" t="str" cm="1">
        <f t="array" ref="I205">code128(B205)</f>
        <v>Ì01Î</v>
      </c>
    </row>
    <row r="206" spans="1:9" x14ac:dyDescent="0.3">
      <c r="A206" s="7">
        <f>[1]Sheet!A206</f>
        <v>0</v>
      </c>
      <c r="B206" s="9">
        <f>HLOOKUP(B$1,[1]Sheet!$B$1:$AI$1754,206,0)</f>
        <v>0</v>
      </c>
      <c r="C206" s="9">
        <f>HLOOKUP(C$1,[1]Sheet!$B$1:$AI$1754,206,0)</f>
        <v>0</v>
      </c>
      <c r="D206" s="8">
        <f>HLOOKUP(D$1,[1]Sheet!$B$1:$AI$1754,206,0)</f>
        <v>0</v>
      </c>
      <c r="E206" s="8">
        <f>HLOOKUP(E$1,[1]Sheet!$B$1:$AI$1754,206,0)</f>
        <v>0</v>
      </c>
      <c r="F206" s="10">
        <f>HLOOKUP(F$1,[1]Sheet!$B$1:$AI$1754,206,0)</f>
        <v>0</v>
      </c>
      <c r="G206" s="8">
        <f>HLOOKUP(G$1,[1]Sheet!$B$1:$AI$1754,206,0)</f>
        <v>0</v>
      </c>
      <c r="H206" s="13">
        <f>IF(HLOOKUP(H$1,[1]Sheet!$B$1:$AI$1754,206,0)&lt;&gt;"999",HLOOKUP(H$1,[1]Sheet!$B$1:$AI$1754,206,0),"ESTOQUE")</f>
        <v>0</v>
      </c>
      <c r="I206" s="5" t="str" cm="1">
        <f t="array" ref="I206">code128(B206)</f>
        <v>Ì01Î</v>
      </c>
    </row>
    <row r="207" spans="1:9" x14ac:dyDescent="0.3">
      <c r="A207" s="7">
        <f>[1]Sheet!A207</f>
        <v>0</v>
      </c>
      <c r="B207" s="9">
        <f>HLOOKUP(B$1,[1]Sheet!$B$1:$AI$1754,207,0)</f>
        <v>0</v>
      </c>
      <c r="C207" s="9">
        <f>HLOOKUP(C$1,[1]Sheet!$B$1:$AI$1754,207,0)</f>
        <v>0</v>
      </c>
      <c r="D207" s="8">
        <f>HLOOKUP(D$1,[1]Sheet!$B$1:$AI$1754,207,0)</f>
        <v>0</v>
      </c>
      <c r="E207" s="8">
        <f>HLOOKUP(E$1,[1]Sheet!$B$1:$AI$1754,207,0)</f>
        <v>0</v>
      </c>
      <c r="F207" s="10">
        <f>HLOOKUP(F$1,[1]Sheet!$B$1:$AI$1754,207,0)</f>
        <v>0</v>
      </c>
      <c r="G207" s="8">
        <f>HLOOKUP(G$1,[1]Sheet!$B$1:$AI$1754,207,0)</f>
        <v>0</v>
      </c>
      <c r="H207" s="13">
        <f>IF(HLOOKUP(H$1,[1]Sheet!$B$1:$AI$1754,207,0)&lt;&gt;"999",HLOOKUP(H$1,[1]Sheet!$B$1:$AI$1754,207,0),"ESTOQUE")</f>
        <v>0</v>
      </c>
      <c r="I207" s="5" t="str" cm="1">
        <f t="array" ref="I207">code128(B207)</f>
        <v>Ì01Î</v>
      </c>
    </row>
    <row r="208" spans="1:9" x14ac:dyDescent="0.3">
      <c r="A208" s="7">
        <f>[1]Sheet!A208</f>
        <v>0</v>
      </c>
      <c r="B208" s="9">
        <f>HLOOKUP(B$1,[1]Sheet!$B$1:$AI$1754,208,0)</f>
        <v>0</v>
      </c>
      <c r="C208" s="9">
        <f>HLOOKUP(C$1,[1]Sheet!$B$1:$AI$1754,208,0)</f>
        <v>0</v>
      </c>
      <c r="D208" s="8">
        <f>HLOOKUP(D$1,[1]Sheet!$B$1:$AI$1754,208,0)</f>
        <v>0</v>
      </c>
      <c r="E208" s="8">
        <f>HLOOKUP(E$1,[1]Sheet!$B$1:$AI$1754,208,0)</f>
        <v>0</v>
      </c>
      <c r="F208" s="10">
        <f>HLOOKUP(F$1,[1]Sheet!$B$1:$AI$1754,208,0)</f>
        <v>0</v>
      </c>
      <c r="G208" s="8">
        <f>HLOOKUP(G$1,[1]Sheet!$B$1:$AI$1754,208,0)</f>
        <v>0</v>
      </c>
      <c r="H208" s="13">
        <f>IF(HLOOKUP(H$1,[1]Sheet!$B$1:$AI$1754,208,0)&lt;&gt;"999",HLOOKUP(H$1,[1]Sheet!$B$1:$AI$1754,208,0),"ESTOQUE")</f>
        <v>0</v>
      </c>
      <c r="I208" s="5" t="str" cm="1">
        <f t="array" ref="I208">code128(B208)</f>
        <v>Ì01Î</v>
      </c>
    </row>
    <row r="209" spans="1:9" x14ac:dyDescent="0.3">
      <c r="A209" s="7">
        <f>[1]Sheet!A209</f>
        <v>0</v>
      </c>
      <c r="B209" s="9">
        <f>HLOOKUP(B$1,[1]Sheet!$B$1:$AI$1754,209,0)</f>
        <v>0</v>
      </c>
      <c r="C209" s="9">
        <f>HLOOKUP(C$1,[1]Sheet!$B$1:$AI$1754,209,0)</f>
        <v>0</v>
      </c>
      <c r="D209" s="8">
        <f>HLOOKUP(D$1,[1]Sheet!$B$1:$AI$1754,209,0)</f>
        <v>0</v>
      </c>
      <c r="E209" s="8">
        <f>HLOOKUP(E$1,[1]Sheet!$B$1:$AI$1754,209,0)</f>
        <v>0</v>
      </c>
      <c r="F209" s="10">
        <f>HLOOKUP(F$1,[1]Sheet!$B$1:$AI$1754,209,0)</f>
        <v>0</v>
      </c>
      <c r="G209" s="8">
        <f>HLOOKUP(G$1,[1]Sheet!$B$1:$AI$1754,209,0)</f>
        <v>0</v>
      </c>
      <c r="H209" s="13">
        <f>IF(HLOOKUP(H$1,[1]Sheet!$B$1:$AI$1754,209,0)&lt;&gt;"999",HLOOKUP(H$1,[1]Sheet!$B$1:$AI$1754,209,0),"ESTOQUE")</f>
        <v>0</v>
      </c>
      <c r="I209" s="5" t="str" cm="1">
        <f t="array" ref="I209">code128(B209)</f>
        <v>Ì01Î</v>
      </c>
    </row>
    <row r="210" spans="1:9" x14ac:dyDescent="0.3">
      <c r="A210" s="7">
        <f>[1]Sheet!A210</f>
        <v>0</v>
      </c>
      <c r="B210" s="9">
        <f>HLOOKUP(B$1,[1]Sheet!$B$1:$AI$1754,210,0)</f>
        <v>0</v>
      </c>
      <c r="C210" s="9">
        <f>HLOOKUP(C$1,[1]Sheet!$B$1:$AI$1754,210,0)</f>
        <v>0</v>
      </c>
      <c r="D210" s="8">
        <f>HLOOKUP(D$1,[1]Sheet!$B$1:$AI$1754,210,0)</f>
        <v>0</v>
      </c>
      <c r="E210" s="8">
        <f>HLOOKUP(E$1,[1]Sheet!$B$1:$AI$1754,210,0)</f>
        <v>0</v>
      </c>
      <c r="F210" s="10">
        <f>HLOOKUP(F$1,[1]Sheet!$B$1:$AI$1754,210,0)</f>
        <v>0</v>
      </c>
      <c r="G210" s="8">
        <f>HLOOKUP(G$1,[1]Sheet!$B$1:$AI$1754,210,0)</f>
        <v>0</v>
      </c>
      <c r="H210" s="13">
        <f>IF(HLOOKUP(H$1,[1]Sheet!$B$1:$AI$1754,210,0)&lt;&gt;"999",HLOOKUP(H$1,[1]Sheet!$B$1:$AI$1754,210,0),"ESTOQUE")</f>
        <v>0</v>
      </c>
      <c r="I210" s="5" t="str" cm="1">
        <f t="array" ref="I210">code128(B210)</f>
        <v>Ì01Î</v>
      </c>
    </row>
    <row r="211" spans="1:9" x14ac:dyDescent="0.3">
      <c r="A211" s="7">
        <f>[1]Sheet!A211</f>
        <v>0</v>
      </c>
      <c r="B211" s="9">
        <f>HLOOKUP(B$1,[1]Sheet!$B$1:$AI$1754,211,0)</f>
        <v>0</v>
      </c>
      <c r="C211" s="9">
        <f>HLOOKUP(C$1,[1]Sheet!$B$1:$AI$1754,211,0)</f>
        <v>0</v>
      </c>
      <c r="D211" s="8">
        <f>HLOOKUP(D$1,[1]Sheet!$B$1:$AI$1754,211,0)</f>
        <v>0</v>
      </c>
      <c r="E211" s="8">
        <f>HLOOKUP(E$1,[1]Sheet!$B$1:$AI$1754,211,0)</f>
        <v>0</v>
      </c>
      <c r="F211" s="10">
        <f>HLOOKUP(F$1,[1]Sheet!$B$1:$AI$1754,211,0)</f>
        <v>0</v>
      </c>
      <c r="G211" s="8">
        <f>HLOOKUP(G$1,[1]Sheet!$B$1:$AI$1754,211,0)</f>
        <v>0</v>
      </c>
      <c r="H211" s="13">
        <f>IF(HLOOKUP(H$1,[1]Sheet!$B$1:$AI$1754,211,0)&lt;&gt;"999",HLOOKUP(H$1,[1]Sheet!$B$1:$AI$1754,211,0),"ESTOQUE")</f>
        <v>0</v>
      </c>
      <c r="I211" s="5" t="str" cm="1">
        <f t="array" ref="I211">code128(B211)</f>
        <v>Ì01Î</v>
      </c>
    </row>
    <row r="212" spans="1:9" x14ac:dyDescent="0.3">
      <c r="A212" s="7">
        <f>[1]Sheet!A212</f>
        <v>0</v>
      </c>
      <c r="B212" s="9">
        <f>HLOOKUP(B$1,[1]Sheet!$B$1:$AI$1754,212,0)</f>
        <v>0</v>
      </c>
      <c r="C212" s="9">
        <f>HLOOKUP(C$1,[1]Sheet!$B$1:$AI$1754,212,0)</f>
        <v>0</v>
      </c>
      <c r="D212" s="8">
        <f>HLOOKUP(D$1,[1]Sheet!$B$1:$AI$1754,212,0)</f>
        <v>0</v>
      </c>
      <c r="E212" s="8">
        <f>HLOOKUP(E$1,[1]Sheet!$B$1:$AI$1754,212,0)</f>
        <v>0</v>
      </c>
      <c r="F212" s="10">
        <f>HLOOKUP(F$1,[1]Sheet!$B$1:$AI$1754,212,0)</f>
        <v>0</v>
      </c>
      <c r="G212" s="8">
        <f>HLOOKUP(G$1,[1]Sheet!$B$1:$AI$1754,212,0)</f>
        <v>0</v>
      </c>
      <c r="H212" s="13">
        <f>IF(HLOOKUP(H$1,[1]Sheet!$B$1:$AI$1754,212,0)&lt;&gt;"999",HLOOKUP(H$1,[1]Sheet!$B$1:$AI$1754,212,0),"ESTOQUE")</f>
        <v>0</v>
      </c>
      <c r="I212" s="5" t="str" cm="1">
        <f t="array" ref="I212">code128(B212)</f>
        <v>Ì01Î</v>
      </c>
    </row>
    <row r="213" spans="1:9" x14ac:dyDescent="0.3">
      <c r="A213" s="7">
        <f>[1]Sheet!A213</f>
        <v>0</v>
      </c>
      <c r="B213" s="9">
        <f>HLOOKUP(B$1,[1]Sheet!$B$1:$AI$1754,213,0)</f>
        <v>0</v>
      </c>
      <c r="C213" s="9">
        <f>HLOOKUP(C$1,[1]Sheet!$B$1:$AI$1754,213,0)</f>
        <v>0</v>
      </c>
      <c r="D213" s="8">
        <f>HLOOKUP(D$1,[1]Sheet!$B$1:$AI$1754,213,0)</f>
        <v>0</v>
      </c>
      <c r="E213" s="8">
        <f>HLOOKUP(E$1,[1]Sheet!$B$1:$AI$1754,213,0)</f>
        <v>0</v>
      </c>
      <c r="F213" s="10">
        <f>HLOOKUP(F$1,[1]Sheet!$B$1:$AI$1754,213,0)</f>
        <v>0</v>
      </c>
      <c r="G213" s="8">
        <f>HLOOKUP(G$1,[1]Sheet!$B$1:$AI$1754,213,0)</f>
        <v>0</v>
      </c>
      <c r="H213" s="13">
        <f>IF(HLOOKUP(H$1,[1]Sheet!$B$1:$AI$1754,213,0)&lt;&gt;"999",HLOOKUP(H$1,[1]Sheet!$B$1:$AI$1754,213,0),"ESTOQUE")</f>
        <v>0</v>
      </c>
      <c r="I213" s="5" t="str" cm="1">
        <f t="array" ref="I213">code128(B213)</f>
        <v>Ì01Î</v>
      </c>
    </row>
    <row r="214" spans="1:9" x14ac:dyDescent="0.3">
      <c r="A214" s="7">
        <f>[1]Sheet!A214</f>
        <v>0</v>
      </c>
      <c r="B214" s="9">
        <f>HLOOKUP(B$1,[1]Sheet!$B$1:$AI$1754,214,0)</f>
        <v>0</v>
      </c>
      <c r="C214" s="9">
        <f>HLOOKUP(C$1,[1]Sheet!$B$1:$AI$1754,214,0)</f>
        <v>0</v>
      </c>
      <c r="D214" s="8">
        <f>HLOOKUP(D$1,[1]Sheet!$B$1:$AI$1754,214,0)</f>
        <v>0</v>
      </c>
      <c r="E214" s="8">
        <f>HLOOKUP(E$1,[1]Sheet!$B$1:$AI$1754,214,0)</f>
        <v>0</v>
      </c>
      <c r="F214" s="10">
        <f>HLOOKUP(F$1,[1]Sheet!$B$1:$AI$1754,214,0)</f>
        <v>0</v>
      </c>
      <c r="G214" s="8">
        <f>HLOOKUP(G$1,[1]Sheet!$B$1:$AI$1754,214,0)</f>
        <v>0</v>
      </c>
      <c r="H214" s="13">
        <f>IF(HLOOKUP(H$1,[1]Sheet!$B$1:$AI$1754,214,0)&lt;&gt;"999",HLOOKUP(H$1,[1]Sheet!$B$1:$AI$1754,214,0),"ESTOQUE")</f>
        <v>0</v>
      </c>
      <c r="I214" s="5" t="str" cm="1">
        <f t="array" ref="I214">code128(B214)</f>
        <v>Ì01Î</v>
      </c>
    </row>
    <row r="215" spans="1:9" x14ac:dyDescent="0.3">
      <c r="A215" s="7">
        <f>[1]Sheet!A215</f>
        <v>0</v>
      </c>
      <c r="B215" s="9">
        <f>HLOOKUP(B$1,[1]Sheet!$B$1:$AI$1754,215,0)</f>
        <v>0</v>
      </c>
      <c r="C215" s="9">
        <f>HLOOKUP(C$1,[1]Sheet!$B$1:$AI$1754,215,0)</f>
        <v>0</v>
      </c>
      <c r="D215" s="8">
        <f>HLOOKUP(D$1,[1]Sheet!$B$1:$AI$1754,215,0)</f>
        <v>0</v>
      </c>
      <c r="E215" s="8">
        <f>HLOOKUP(E$1,[1]Sheet!$B$1:$AI$1754,215,0)</f>
        <v>0</v>
      </c>
      <c r="F215" s="10">
        <f>HLOOKUP(F$1,[1]Sheet!$B$1:$AI$1754,215,0)</f>
        <v>0</v>
      </c>
      <c r="G215" s="8">
        <f>HLOOKUP(G$1,[1]Sheet!$B$1:$AI$1754,215,0)</f>
        <v>0</v>
      </c>
      <c r="H215" s="13">
        <f>IF(HLOOKUP(H$1,[1]Sheet!$B$1:$AI$1754,215,0)&lt;&gt;"999",HLOOKUP(H$1,[1]Sheet!$B$1:$AI$1754,215,0),"ESTOQUE")</f>
        <v>0</v>
      </c>
      <c r="I215" s="5" t="str" cm="1">
        <f t="array" ref="I215">code128(B215)</f>
        <v>Ì01Î</v>
      </c>
    </row>
    <row r="216" spans="1:9" x14ac:dyDescent="0.3">
      <c r="A216" s="7">
        <f>[1]Sheet!A216</f>
        <v>0</v>
      </c>
      <c r="B216" s="9">
        <f>HLOOKUP(B$1,[1]Sheet!$B$1:$AI$1754,216,0)</f>
        <v>0</v>
      </c>
      <c r="C216" s="9">
        <f>HLOOKUP(C$1,[1]Sheet!$B$1:$AI$1754,216,0)</f>
        <v>0</v>
      </c>
      <c r="D216" s="8">
        <f>HLOOKUP(D$1,[1]Sheet!$B$1:$AI$1754,216,0)</f>
        <v>0</v>
      </c>
      <c r="E216" s="8">
        <f>HLOOKUP(E$1,[1]Sheet!$B$1:$AI$1754,216,0)</f>
        <v>0</v>
      </c>
      <c r="F216" s="10">
        <f>HLOOKUP(F$1,[1]Sheet!$B$1:$AI$1754,216,0)</f>
        <v>0</v>
      </c>
      <c r="G216" s="8">
        <f>HLOOKUP(G$1,[1]Sheet!$B$1:$AI$1754,216,0)</f>
        <v>0</v>
      </c>
      <c r="H216" s="13">
        <f>IF(HLOOKUP(H$1,[1]Sheet!$B$1:$AI$1754,216,0)&lt;&gt;"999",HLOOKUP(H$1,[1]Sheet!$B$1:$AI$1754,216,0),"ESTOQUE")</f>
        <v>0</v>
      </c>
      <c r="I216" s="5" t="str" cm="1">
        <f t="array" ref="I216">code128(B216)</f>
        <v>Ì01Î</v>
      </c>
    </row>
    <row r="217" spans="1:9" x14ac:dyDescent="0.3">
      <c r="A217" s="7">
        <f>[1]Sheet!A217</f>
        <v>0</v>
      </c>
      <c r="B217" s="9">
        <f>HLOOKUP(B$1,[1]Sheet!$B$1:$AI$1754,217,0)</f>
        <v>0</v>
      </c>
      <c r="C217" s="9">
        <f>HLOOKUP(C$1,[1]Sheet!$B$1:$AI$1754,217,0)</f>
        <v>0</v>
      </c>
      <c r="D217" s="8">
        <f>HLOOKUP(D$1,[1]Sheet!$B$1:$AI$1754,217,0)</f>
        <v>0</v>
      </c>
      <c r="E217" s="8">
        <f>HLOOKUP(E$1,[1]Sheet!$B$1:$AI$1754,217,0)</f>
        <v>0</v>
      </c>
      <c r="F217" s="10">
        <f>HLOOKUP(F$1,[1]Sheet!$B$1:$AI$1754,217,0)</f>
        <v>0</v>
      </c>
      <c r="G217" s="8">
        <f>HLOOKUP(G$1,[1]Sheet!$B$1:$AI$1754,217,0)</f>
        <v>0</v>
      </c>
      <c r="H217" s="13">
        <f>IF(HLOOKUP(H$1,[1]Sheet!$B$1:$AI$1754,217,0)&lt;&gt;"999",HLOOKUP(H$1,[1]Sheet!$B$1:$AI$1754,217,0),"ESTOQUE")</f>
        <v>0</v>
      </c>
      <c r="I217" s="5" t="str" cm="1">
        <f t="array" ref="I217">code128(B217)</f>
        <v>Ì01Î</v>
      </c>
    </row>
    <row r="218" spans="1:9" x14ac:dyDescent="0.3">
      <c r="A218" s="7">
        <f>[1]Sheet!A218</f>
        <v>0</v>
      </c>
      <c r="B218" s="9">
        <f>HLOOKUP(B$1,[1]Sheet!$B$1:$AI$1754,218,0)</f>
        <v>0</v>
      </c>
      <c r="C218" s="9">
        <f>HLOOKUP(C$1,[1]Sheet!$B$1:$AI$1754,218,0)</f>
        <v>0</v>
      </c>
      <c r="D218" s="8">
        <f>HLOOKUP(D$1,[1]Sheet!$B$1:$AI$1754,218,0)</f>
        <v>0</v>
      </c>
      <c r="E218" s="8">
        <f>HLOOKUP(E$1,[1]Sheet!$B$1:$AI$1754,218,0)</f>
        <v>0</v>
      </c>
      <c r="F218" s="10">
        <f>HLOOKUP(F$1,[1]Sheet!$B$1:$AI$1754,218,0)</f>
        <v>0</v>
      </c>
      <c r="G218" s="8">
        <f>HLOOKUP(G$1,[1]Sheet!$B$1:$AI$1754,218,0)</f>
        <v>0</v>
      </c>
      <c r="H218" s="13">
        <f>IF(HLOOKUP(H$1,[1]Sheet!$B$1:$AI$1754,218,0)&lt;&gt;"999",HLOOKUP(H$1,[1]Sheet!$B$1:$AI$1754,218,0),"ESTOQUE")</f>
        <v>0</v>
      </c>
      <c r="I218" s="5" t="str" cm="1">
        <f t="array" ref="I218">code128(B218)</f>
        <v>Ì01Î</v>
      </c>
    </row>
    <row r="219" spans="1:9" x14ac:dyDescent="0.3">
      <c r="A219" s="7">
        <f>[1]Sheet!A219</f>
        <v>0</v>
      </c>
      <c r="B219" s="9">
        <f>HLOOKUP(B$1,[1]Sheet!$B$1:$AI$1754,219,0)</f>
        <v>0</v>
      </c>
      <c r="C219" s="9">
        <f>HLOOKUP(C$1,[1]Sheet!$B$1:$AI$1754,219,0)</f>
        <v>0</v>
      </c>
      <c r="D219" s="8">
        <f>HLOOKUP(D$1,[1]Sheet!$B$1:$AI$1754,219,0)</f>
        <v>0</v>
      </c>
      <c r="E219" s="8">
        <f>HLOOKUP(E$1,[1]Sheet!$B$1:$AI$1754,219,0)</f>
        <v>0</v>
      </c>
      <c r="F219" s="10">
        <f>HLOOKUP(F$1,[1]Sheet!$B$1:$AI$1754,219,0)</f>
        <v>0</v>
      </c>
      <c r="G219" s="8">
        <f>HLOOKUP(G$1,[1]Sheet!$B$1:$AI$1754,219,0)</f>
        <v>0</v>
      </c>
      <c r="H219" s="13">
        <f>IF(HLOOKUP(H$1,[1]Sheet!$B$1:$AI$1754,219,0)&lt;&gt;"999",HLOOKUP(H$1,[1]Sheet!$B$1:$AI$1754,219,0),"ESTOQUE")</f>
        <v>0</v>
      </c>
      <c r="I219" s="5" t="str" cm="1">
        <f t="array" ref="I219">code128(B219)</f>
        <v>Ì01Î</v>
      </c>
    </row>
    <row r="220" spans="1:9" x14ac:dyDescent="0.3">
      <c r="A220" s="7">
        <f>[1]Sheet!A220</f>
        <v>0</v>
      </c>
      <c r="B220" s="9">
        <f>HLOOKUP(B$1,[1]Sheet!$B$1:$AI$1754,220,0)</f>
        <v>0</v>
      </c>
      <c r="C220" s="9">
        <f>HLOOKUP(C$1,[1]Sheet!$B$1:$AI$1754,220,0)</f>
        <v>0</v>
      </c>
      <c r="D220" s="8">
        <f>HLOOKUP(D$1,[1]Sheet!$B$1:$AI$1754,220,0)</f>
        <v>0</v>
      </c>
      <c r="E220" s="8">
        <f>HLOOKUP(E$1,[1]Sheet!$B$1:$AI$1754,220,0)</f>
        <v>0</v>
      </c>
      <c r="F220" s="10">
        <f>HLOOKUP(F$1,[1]Sheet!$B$1:$AI$1754,220,0)</f>
        <v>0</v>
      </c>
      <c r="G220" s="8">
        <f>HLOOKUP(G$1,[1]Sheet!$B$1:$AI$1754,220,0)</f>
        <v>0</v>
      </c>
      <c r="H220" s="13">
        <f>IF(HLOOKUP(H$1,[1]Sheet!$B$1:$AI$1754,220,0)&lt;&gt;"999",HLOOKUP(H$1,[1]Sheet!$B$1:$AI$1754,220,0),"ESTOQUE")</f>
        <v>0</v>
      </c>
      <c r="I220" s="5" t="str" cm="1">
        <f t="array" ref="I220">code128(B220)</f>
        <v>Ì01Î</v>
      </c>
    </row>
    <row r="221" spans="1:9" x14ac:dyDescent="0.3">
      <c r="A221" s="7">
        <f>[1]Sheet!A221</f>
        <v>0</v>
      </c>
      <c r="B221" s="9">
        <f>HLOOKUP(B$1,[1]Sheet!$B$1:$AI$1754,221,0)</f>
        <v>0</v>
      </c>
      <c r="C221" s="9">
        <f>HLOOKUP(C$1,[1]Sheet!$B$1:$AI$1754,221,0)</f>
        <v>0</v>
      </c>
      <c r="D221" s="8">
        <f>HLOOKUP(D$1,[1]Sheet!$B$1:$AI$1754,221,0)</f>
        <v>0</v>
      </c>
      <c r="E221" s="8">
        <f>HLOOKUP(E$1,[1]Sheet!$B$1:$AI$1754,221,0)</f>
        <v>0</v>
      </c>
      <c r="F221" s="10">
        <f>HLOOKUP(F$1,[1]Sheet!$B$1:$AI$1754,221,0)</f>
        <v>0</v>
      </c>
      <c r="G221" s="8">
        <f>HLOOKUP(G$1,[1]Sheet!$B$1:$AI$1754,221,0)</f>
        <v>0</v>
      </c>
      <c r="H221" s="13">
        <f>IF(HLOOKUP(H$1,[1]Sheet!$B$1:$AI$1754,221,0)&lt;&gt;"999",HLOOKUP(H$1,[1]Sheet!$B$1:$AI$1754,221,0),"ESTOQUE")</f>
        <v>0</v>
      </c>
      <c r="I221" s="5" t="str" cm="1">
        <f t="array" ref="I221">code128(B221)</f>
        <v>Ì01Î</v>
      </c>
    </row>
    <row r="222" spans="1:9" x14ac:dyDescent="0.3">
      <c r="A222" s="7">
        <f>[1]Sheet!A222</f>
        <v>0</v>
      </c>
      <c r="B222" s="9">
        <f>HLOOKUP(B$1,[1]Sheet!$B$1:$AI$1754,222,0)</f>
        <v>0</v>
      </c>
      <c r="C222" s="9">
        <f>HLOOKUP(C$1,[1]Sheet!$B$1:$AI$1754,222,0)</f>
        <v>0</v>
      </c>
      <c r="D222" s="8">
        <f>HLOOKUP(D$1,[1]Sheet!$B$1:$AI$1754,222,0)</f>
        <v>0</v>
      </c>
      <c r="E222" s="8">
        <f>HLOOKUP(E$1,[1]Sheet!$B$1:$AI$1754,222,0)</f>
        <v>0</v>
      </c>
      <c r="F222" s="10">
        <f>HLOOKUP(F$1,[1]Sheet!$B$1:$AI$1754,222,0)</f>
        <v>0</v>
      </c>
      <c r="G222" s="8">
        <f>HLOOKUP(G$1,[1]Sheet!$B$1:$AI$1754,222,0)</f>
        <v>0</v>
      </c>
      <c r="H222" s="13">
        <f>IF(HLOOKUP(H$1,[1]Sheet!$B$1:$AI$1754,222,0)&lt;&gt;"999",HLOOKUP(H$1,[1]Sheet!$B$1:$AI$1754,222,0),"ESTOQUE")</f>
        <v>0</v>
      </c>
      <c r="I222" s="5" t="str" cm="1">
        <f t="array" ref="I222">code128(B222)</f>
        <v>Ì01Î</v>
      </c>
    </row>
    <row r="223" spans="1:9" x14ac:dyDescent="0.3">
      <c r="A223" s="7">
        <f>[1]Sheet!A223</f>
        <v>0</v>
      </c>
      <c r="B223" s="9">
        <f>HLOOKUP(B$1,[1]Sheet!$B$1:$AI$1754,223,0)</f>
        <v>0</v>
      </c>
      <c r="C223" s="9">
        <f>HLOOKUP(C$1,[1]Sheet!$B$1:$AI$1754,223,0)</f>
        <v>0</v>
      </c>
      <c r="D223" s="8">
        <f>HLOOKUP(D$1,[1]Sheet!$B$1:$AI$1754,223,0)</f>
        <v>0</v>
      </c>
      <c r="E223" s="8">
        <f>HLOOKUP(E$1,[1]Sheet!$B$1:$AI$1754,223,0)</f>
        <v>0</v>
      </c>
      <c r="F223" s="10">
        <f>HLOOKUP(F$1,[1]Sheet!$B$1:$AI$1754,223,0)</f>
        <v>0</v>
      </c>
      <c r="G223" s="8">
        <f>HLOOKUP(G$1,[1]Sheet!$B$1:$AI$1754,223,0)</f>
        <v>0</v>
      </c>
      <c r="H223" s="13">
        <f>IF(HLOOKUP(H$1,[1]Sheet!$B$1:$AI$1754,223,0)&lt;&gt;"999",HLOOKUP(H$1,[1]Sheet!$B$1:$AI$1754,223,0),"ESTOQUE")</f>
        <v>0</v>
      </c>
      <c r="I223" s="5" t="str" cm="1">
        <f t="array" ref="I223">code128(B223)</f>
        <v>Ì01Î</v>
      </c>
    </row>
    <row r="224" spans="1:9" x14ac:dyDescent="0.3">
      <c r="A224" s="7">
        <f>[1]Sheet!A224</f>
        <v>0</v>
      </c>
      <c r="B224" s="9">
        <f>HLOOKUP(B$1,[1]Sheet!$B$1:$AI$1754,224,0)</f>
        <v>0</v>
      </c>
      <c r="C224" s="9">
        <f>HLOOKUP(C$1,[1]Sheet!$B$1:$AI$1754,224,0)</f>
        <v>0</v>
      </c>
      <c r="D224" s="8">
        <f>HLOOKUP(D$1,[1]Sheet!$B$1:$AI$1754,224,0)</f>
        <v>0</v>
      </c>
      <c r="E224" s="8">
        <f>HLOOKUP(E$1,[1]Sheet!$B$1:$AI$1754,224,0)</f>
        <v>0</v>
      </c>
      <c r="F224" s="10">
        <f>HLOOKUP(F$1,[1]Sheet!$B$1:$AI$1754,224,0)</f>
        <v>0</v>
      </c>
      <c r="G224" s="8">
        <f>HLOOKUP(G$1,[1]Sheet!$B$1:$AI$1754,224,0)</f>
        <v>0</v>
      </c>
      <c r="H224" s="13">
        <f>IF(HLOOKUP(H$1,[1]Sheet!$B$1:$AI$1754,224,0)&lt;&gt;"999",HLOOKUP(H$1,[1]Sheet!$B$1:$AI$1754,224,0),"ESTOQUE")</f>
        <v>0</v>
      </c>
      <c r="I224" s="5" t="str" cm="1">
        <f t="array" ref="I224">code128(B224)</f>
        <v>Ì01Î</v>
      </c>
    </row>
    <row r="225" spans="1:9" x14ac:dyDescent="0.3">
      <c r="A225" s="7">
        <f>[1]Sheet!A225</f>
        <v>0</v>
      </c>
      <c r="B225" s="9">
        <f>HLOOKUP(B$1,[1]Sheet!$B$1:$AI$1754,225,0)</f>
        <v>0</v>
      </c>
      <c r="C225" s="9">
        <f>HLOOKUP(C$1,[1]Sheet!$B$1:$AI$1754,225,0)</f>
        <v>0</v>
      </c>
      <c r="D225" s="8">
        <f>HLOOKUP(D$1,[1]Sheet!$B$1:$AI$1754,225,0)</f>
        <v>0</v>
      </c>
      <c r="E225" s="8">
        <f>HLOOKUP(E$1,[1]Sheet!$B$1:$AI$1754,225,0)</f>
        <v>0</v>
      </c>
      <c r="F225" s="10">
        <f>HLOOKUP(F$1,[1]Sheet!$B$1:$AI$1754,225,0)</f>
        <v>0</v>
      </c>
      <c r="G225" s="8">
        <f>HLOOKUP(G$1,[1]Sheet!$B$1:$AI$1754,225,0)</f>
        <v>0</v>
      </c>
      <c r="H225" s="13">
        <f>IF(HLOOKUP(H$1,[1]Sheet!$B$1:$AI$1754,225,0)&lt;&gt;"999",HLOOKUP(H$1,[1]Sheet!$B$1:$AI$1754,225,0),"ESTOQUE")</f>
        <v>0</v>
      </c>
      <c r="I225" s="5" t="str" cm="1">
        <f t="array" ref="I225">code128(B225)</f>
        <v>Ì01Î</v>
      </c>
    </row>
    <row r="226" spans="1:9" x14ac:dyDescent="0.3">
      <c r="A226" s="7">
        <f>[1]Sheet!A226</f>
        <v>0</v>
      </c>
      <c r="B226" s="9">
        <f>HLOOKUP(B$1,[1]Sheet!$B$1:$AI$1754,226,0)</f>
        <v>0</v>
      </c>
      <c r="C226" s="9">
        <f>HLOOKUP(C$1,[1]Sheet!$B$1:$AI$1754,226,0)</f>
        <v>0</v>
      </c>
      <c r="D226" s="8">
        <f>HLOOKUP(D$1,[1]Sheet!$B$1:$AI$1754,226,0)</f>
        <v>0</v>
      </c>
      <c r="E226" s="8">
        <f>HLOOKUP(E$1,[1]Sheet!$B$1:$AI$1754,226,0)</f>
        <v>0</v>
      </c>
      <c r="F226" s="10">
        <f>HLOOKUP(F$1,[1]Sheet!$B$1:$AI$1754,226,0)</f>
        <v>0</v>
      </c>
      <c r="G226" s="8">
        <f>HLOOKUP(G$1,[1]Sheet!$B$1:$AI$1754,226,0)</f>
        <v>0</v>
      </c>
      <c r="H226" s="13">
        <f>IF(HLOOKUP(H$1,[1]Sheet!$B$1:$AI$1754,226,0)&lt;&gt;"999",HLOOKUP(H$1,[1]Sheet!$B$1:$AI$1754,226,0),"ESTOQUE")</f>
        <v>0</v>
      </c>
      <c r="I226" s="5" t="str" cm="1">
        <f t="array" ref="I226">code128(B226)</f>
        <v>Ì01Î</v>
      </c>
    </row>
    <row r="227" spans="1:9" x14ac:dyDescent="0.3">
      <c r="A227" s="7">
        <f>[1]Sheet!A227</f>
        <v>0</v>
      </c>
      <c r="B227" s="9">
        <f>HLOOKUP(B$1,[1]Sheet!$B$1:$AI$1754,227,0)</f>
        <v>0</v>
      </c>
      <c r="C227" s="9">
        <f>HLOOKUP(C$1,[1]Sheet!$B$1:$AI$1754,227,0)</f>
        <v>0</v>
      </c>
      <c r="D227" s="8">
        <f>HLOOKUP(D$1,[1]Sheet!$B$1:$AI$1754,227,0)</f>
        <v>0</v>
      </c>
      <c r="E227" s="8">
        <f>HLOOKUP(E$1,[1]Sheet!$B$1:$AI$1754,227,0)</f>
        <v>0</v>
      </c>
      <c r="F227" s="10">
        <f>HLOOKUP(F$1,[1]Sheet!$B$1:$AI$1754,227,0)</f>
        <v>0</v>
      </c>
      <c r="G227" s="8">
        <f>HLOOKUP(G$1,[1]Sheet!$B$1:$AI$1754,227,0)</f>
        <v>0</v>
      </c>
      <c r="H227" s="13">
        <f>IF(HLOOKUP(H$1,[1]Sheet!$B$1:$AI$1754,227,0)&lt;&gt;"999",HLOOKUP(H$1,[1]Sheet!$B$1:$AI$1754,227,0),"ESTOQUE")</f>
        <v>0</v>
      </c>
      <c r="I227" s="5" t="str" cm="1">
        <f t="array" ref="I227">code128(B227)</f>
        <v>Ì01Î</v>
      </c>
    </row>
    <row r="228" spans="1:9" x14ac:dyDescent="0.3">
      <c r="A228" s="7">
        <f>[1]Sheet!A228</f>
        <v>0</v>
      </c>
      <c r="B228" s="9">
        <f>HLOOKUP(B$1,[1]Sheet!$B$1:$AI$1754,228,0)</f>
        <v>0</v>
      </c>
      <c r="C228" s="9">
        <f>HLOOKUP(C$1,[1]Sheet!$B$1:$AI$1754,228,0)</f>
        <v>0</v>
      </c>
      <c r="D228" s="8">
        <f>HLOOKUP(D$1,[1]Sheet!$B$1:$AI$1754,228,0)</f>
        <v>0</v>
      </c>
      <c r="E228" s="8">
        <f>HLOOKUP(E$1,[1]Sheet!$B$1:$AI$1754,228,0)</f>
        <v>0</v>
      </c>
      <c r="F228" s="10">
        <f>HLOOKUP(F$1,[1]Sheet!$B$1:$AI$1754,228,0)</f>
        <v>0</v>
      </c>
      <c r="G228" s="8">
        <f>HLOOKUP(G$1,[1]Sheet!$B$1:$AI$1754,228,0)</f>
        <v>0</v>
      </c>
      <c r="H228" s="13">
        <f>IF(HLOOKUP(H$1,[1]Sheet!$B$1:$AI$1754,228,0)&lt;&gt;"999",HLOOKUP(H$1,[1]Sheet!$B$1:$AI$1754,228,0),"ESTOQUE")</f>
        <v>0</v>
      </c>
      <c r="I228" s="5" t="str" cm="1">
        <f t="array" ref="I228">code128(B228)</f>
        <v>Ì01Î</v>
      </c>
    </row>
    <row r="229" spans="1:9" x14ac:dyDescent="0.3">
      <c r="A229" s="7">
        <f>[1]Sheet!A229</f>
        <v>0</v>
      </c>
      <c r="B229" s="9">
        <f>HLOOKUP(B$1,[1]Sheet!$B$1:$AI$1754,229,0)</f>
        <v>0</v>
      </c>
      <c r="C229" s="9">
        <f>HLOOKUP(C$1,[1]Sheet!$B$1:$AI$1754,229,0)</f>
        <v>0</v>
      </c>
      <c r="D229" s="8">
        <f>HLOOKUP(D$1,[1]Sheet!$B$1:$AI$1754,229,0)</f>
        <v>0</v>
      </c>
      <c r="E229" s="8">
        <f>HLOOKUP(E$1,[1]Sheet!$B$1:$AI$1754,229,0)</f>
        <v>0</v>
      </c>
      <c r="F229" s="10">
        <f>HLOOKUP(F$1,[1]Sheet!$B$1:$AI$1754,229,0)</f>
        <v>0</v>
      </c>
      <c r="G229" s="8">
        <f>HLOOKUP(G$1,[1]Sheet!$B$1:$AI$1754,229,0)</f>
        <v>0</v>
      </c>
      <c r="H229" s="13">
        <f>IF(HLOOKUP(H$1,[1]Sheet!$B$1:$AI$1754,229,0)&lt;&gt;"999",HLOOKUP(H$1,[1]Sheet!$B$1:$AI$1754,229,0),"ESTOQUE")</f>
        <v>0</v>
      </c>
      <c r="I229" s="5" t="str" cm="1">
        <f t="array" ref="I229">code128(B229)</f>
        <v>Ì01Î</v>
      </c>
    </row>
    <row r="230" spans="1:9" x14ac:dyDescent="0.3">
      <c r="A230" s="7">
        <f>[1]Sheet!A230</f>
        <v>0</v>
      </c>
      <c r="B230" s="9">
        <f>HLOOKUP(B$1,[1]Sheet!$B$1:$AI$1754,230,0)</f>
        <v>0</v>
      </c>
      <c r="C230" s="9">
        <f>HLOOKUP(C$1,[1]Sheet!$B$1:$AI$1754,230,0)</f>
        <v>0</v>
      </c>
      <c r="D230" s="8">
        <f>HLOOKUP(D$1,[1]Sheet!$B$1:$AI$1754,230,0)</f>
        <v>0</v>
      </c>
      <c r="E230" s="8">
        <f>HLOOKUP(E$1,[1]Sheet!$B$1:$AI$1754,230,0)</f>
        <v>0</v>
      </c>
      <c r="F230" s="10">
        <f>HLOOKUP(F$1,[1]Sheet!$B$1:$AI$1754,230,0)</f>
        <v>0</v>
      </c>
      <c r="G230" s="8">
        <f>HLOOKUP(G$1,[1]Sheet!$B$1:$AI$1754,230,0)</f>
        <v>0</v>
      </c>
      <c r="H230" s="13">
        <f>IF(HLOOKUP(H$1,[1]Sheet!$B$1:$AI$1754,230,0)&lt;&gt;"999",HLOOKUP(H$1,[1]Sheet!$B$1:$AI$1754,230,0),"ESTOQUE")</f>
        <v>0</v>
      </c>
      <c r="I230" s="5" t="str" cm="1">
        <f t="array" ref="I230">code128(B230)</f>
        <v>Ì01Î</v>
      </c>
    </row>
    <row r="231" spans="1:9" x14ac:dyDescent="0.3">
      <c r="A231" s="7">
        <f>[1]Sheet!A231</f>
        <v>0</v>
      </c>
      <c r="B231" s="9">
        <f>HLOOKUP(B$1,[1]Sheet!$B$1:$AI$1754,231,0)</f>
        <v>0</v>
      </c>
      <c r="C231" s="9">
        <f>HLOOKUP(C$1,[1]Sheet!$B$1:$AI$1754,231,0)</f>
        <v>0</v>
      </c>
      <c r="D231" s="8">
        <f>HLOOKUP(D$1,[1]Sheet!$B$1:$AI$1754,231,0)</f>
        <v>0</v>
      </c>
      <c r="E231" s="8">
        <f>HLOOKUP(E$1,[1]Sheet!$B$1:$AI$1754,231,0)</f>
        <v>0</v>
      </c>
      <c r="F231" s="10">
        <f>HLOOKUP(F$1,[1]Sheet!$B$1:$AI$1754,231,0)</f>
        <v>0</v>
      </c>
      <c r="G231" s="8">
        <f>HLOOKUP(G$1,[1]Sheet!$B$1:$AI$1754,231,0)</f>
        <v>0</v>
      </c>
      <c r="H231" s="13">
        <f>IF(HLOOKUP(H$1,[1]Sheet!$B$1:$AI$1754,231,0)&lt;&gt;"999",HLOOKUP(H$1,[1]Sheet!$B$1:$AI$1754,231,0),"ESTOQUE")</f>
        <v>0</v>
      </c>
      <c r="I231" s="5" t="str" cm="1">
        <f t="array" ref="I231">code128(B231)</f>
        <v>Ì01Î</v>
      </c>
    </row>
    <row r="232" spans="1:9" x14ac:dyDescent="0.3">
      <c r="A232" s="7">
        <f>[1]Sheet!A232</f>
        <v>0</v>
      </c>
      <c r="B232" s="9">
        <f>HLOOKUP(B$1,[1]Sheet!$B$1:$AI$1754,232,0)</f>
        <v>0</v>
      </c>
      <c r="C232" s="9">
        <f>HLOOKUP(C$1,[1]Sheet!$B$1:$AI$1754,232,0)</f>
        <v>0</v>
      </c>
      <c r="D232" s="8">
        <f>HLOOKUP(D$1,[1]Sheet!$B$1:$AI$1754,232,0)</f>
        <v>0</v>
      </c>
      <c r="E232" s="8">
        <f>HLOOKUP(E$1,[1]Sheet!$B$1:$AI$1754,232,0)</f>
        <v>0</v>
      </c>
      <c r="F232" s="10">
        <f>HLOOKUP(F$1,[1]Sheet!$B$1:$AI$1754,232,0)</f>
        <v>0</v>
      </c>
      <c r="G232" s="8">
        <f>HLOOKUP(G$1,[1]Sheet!$B$1:$AI$1754,232,0)</f>
        <v>0</v>
      </c>
      <c r="H232" s="13">
        <f>IF(HLOOKUP(H$1,[1]Sheet!$B$1:$AI$1754,232,0)&lt;&gt;"999",HLOOKUP(H$1,[1]Sheet!$B$1:$AI$1754,232,0),"ESTOQUE")</f>
        <v>0</v>
      </c>
      <c r="I232" s="5" t="str" cm="1">
        <f t="array" ref="I232">code128(B232)</f>
        <v>Ì01Î</v>
      </c>
    </row>
    <row r="233" spans="1:9" x14ac:dyDescent="0.3">
      <c r="A233" s="7">
        <f>[1]Sheet!A233</f>
        <v>0</v>
      </c>
      <c r="B233" s="9">
        <f>HLOOKUP(B$1,[1]Sheet!$B$1:$AI$1754,233,0)</f>
        <v>0</v>
      </c>
      <c r="C233" s="9">
        <f>HLOOKUP(C$1,[1]Sheet!$B$1:$AI$1754,233,0)</f>
        <v>0</v>
      </c>
      <c r="D233" s="8">
        <f>HLOOKUP(D$1,[1]Sheet!$B$1:$AI$1754,233,0)</f>
        <v>0</v>
      </c>
      <c r="E233" s="8">
        <f>HLOOKUP(E$1,[1]Sheet!$B$1:$AI$1754,233,0)</f>
        <v>0</v>
      </c>
      <c r="F233" s="10">
        <f>HLOOKUP(F$1,[1]Sheet!$B$1:$AI$1754,233,0)</f>
        <v>0</v>
      </c>
      <c r="G233" s="8">
        <f>HLOOKUP(G$1,[1]Sheet!$B$1:$AI$1754,233,0)</f>
        <v>0</v>
      </c>
      <c r="H233" s="13">
        <f>IF(HLOOKUP(H$1,[1]Sheet!$B$1:$AI$1754,233,0)&lt;&gt;"999",HLOOKUP(H$1,[1]Sheet!$B$1:$AI$1754,233,0),"ESTOQUE")</f>
        <v>0</v>
      </c>
      <c r="I233" s="5" t="str" cm="1">
        <f t="array" ref="I233">code128(B233)</f>
        <v>Ì01Î</v>
      </c>
    </row>
    <row r="234" spans="1:9" x14ac:dyDescent="0.3">
      <c r="A234" s="7">
        <f>[1]Sheet!A234</f>
        <v>0</v>
      </c>
      <c r="B234" s="9">
        <f>HLOOKUP(B$1,[1]Sheet!$B$1:$AI$1754,234,0)</f>
        <v>0</v>
      </c>
      <c r="C234" s="9">
        <f>HLOOKUP(C$1,[1]Sheet!$B$1:$AI$1754,234,0)</f>
        <v>0</v>
      </c>
      <c r="D234" s="8">
        <f>HLOOKUP(D$1,[1]Sheet!$B$1:$AI$1754,234,0)</f>
        <v>0</v>
      </c>
      <c r="E234" s="8">
        <f>HLOOKUP(E$1,[1]Sheet!$B$1:$AI$1754,234,0)</f>
        <v>0</v>
      </c>
      <c r="F234" s="10">
        <f>HLOOKUP(F$1,[1]Sheet!$B$1:$AI$1754,234,0)</f>
        <v>0</v>
      </c>
      <c r="G234" s="8">
        <f>HLOOKUP(G$1,[1]Sheet!$B$1:$AI$1754,234,0)</f>
        <v>0</v>
      </c>
      <c r="H234" s="13">
        <f>IF(HLOOKUP(H$1,[1]Sheet!$B$1:$AI$1754,234,0)&lt;&gt;"999",HLOOKUP(H$1,[1]Sheet!$B$1:$AI$1754,234,0),"ESTOQUE")</f>
        <v>0</v>
      </c>
      <c r="I234" s="5" t="str" cm="1">
        <f t="array" ref="I234">code128(B234)</f>
        <v>Ì01Î</v>
      </c>
    </row>
    <row r="235" spans="1:9" x14ac:dyDescent="0.3">
      <c r="A235" s="7">
        <f>[1]Sheet!A235</f>
        <v>0</v>
      </c>
      <c r="B235" s="9">
        <f>HLOOKUP(B$1,[1]Sheet!$B$1:$AI$1754,235,0)</f>
        <v>0</v>
      </c>
      <c r="C235" s="9">
        <f>HLOOKUP(C$1,[1]Sheet!$B$1:$AI$1754,235,0)</f>
        <v>0</v>
      </c>
      <c r="D235" s="8">
        <f>HLOOKUP(D$1,[1]Sheet!$B$1:$AI$1754,235,0)</f>
        <v>0</v>
      </c>
      <c r="E235" s="8">
        <f>HLOOKUP(E$1,[1]Sheet!$B$1:$AI$1754,235,0)</f>
        <v>0</v>
      </c>
      <c r="F235" s="10">
        <f>HLOOKUP(F$1,[1]Sheet!$B$1:$AI$1754,235,0)</f>
        <v>0</v>
      </c>
      <c r="G235" s="8">
        <f>HLOOKUP(G$1,[1]Sheet!$B$1:$AI$1754,235,0)</f>
        <v>0</v>
      </c>
      <c r="H235" s="13">
        <f>IF(HLOOKUP(H$1,[1]Sheet!$B$1:$AI$1754,235,0)&lt;&gt;"999",HLOOKUP(H$1,[1]Sheet!$B$1:$AI$1754,235,0),"ESTOQUE")</f>
        <v>0</v>
      </c>
      <c r="I235" s="5" t="str" cm="1">
        <f t="array" ref="I235">code128(B235)</f>
        <v>Ì01Î</v>
      </c>
    </row>
    <row r="236" spans="1:9" x14ac:dyDescent="0.3">
      <c r="A236" s="7">
        <f>[1]Sheet!A236</f>
        <v>0</v>
      </c>
      <c r="B236" s="9">
        <f>HLOOKUP(B$1,[1]Sheet!$B$1:$AI$1754,236,0)</f>
        <v>0</v>
      </c>
      <c r="C236" s="9">
        <f>HLOOKUP(C$1,[1]Sheet!$B$1:$AI$1754,236,0)</f>
        <v>0</v>
      </c>
      <c r="D236" s="8">
        <f>HLOOKUP(D$1,[1]Sheet!$B$1:$AI$1754,236,0)</f>
        <v>0</v>
      </c>
      <c r="E236" s="8">
        <f>HLOOKUP(E$1,[1]Sheet!$B$1:$AI$1754,236,0)</f>
        <v>0</v>
      </c>
      <c r="F236" s="10">
        <f>HLOOKUP(F$1,[1]Sheet!$B$1:$AI$1754,236,0)</f>
        <v>0</v>
      </c>
      <c r="G236" s="8">
        <f>HLOOKUP(G$1,[1]Sheet!$B$1:$AI$1754,236,0)</f>
        <v>0</v>
      </c>
      <c r="H236" s="13">
        <f>IF(HLOOKUP(H$1,[1]Sheet!$B$1:$AI$1754,236,0)&lt;&gt;"999",HLOOKUP(H$1,[1]Sheet!$B$1:$AI$1754,236,0),"ESTOQUE")</f>
        <v>0</v>
      </c>
      <c r="I236" s="5" t="str" cm="1">
        <f t="array" ref="I236">code128(B236)</f>
        <v>Ì01Î</v>
      </c>
    </row>
    <row r="237" spans="1:9" x14ac:dyDescent="0.3">
      <c r="A237" s="7">
        <f>[1]Sheet!A237</f>
        <v>0</v>
      </c>
      <c r="B237" s="9">
        <f>HLOOKUP(B$1,[1]Sheet!$B$1:$AI$1754,237,0)</f>
        <v>0</v>
      </c>
      <c r="C237" s="9">
        <f>HLOOKUP(C$1,[1]Sheet!$B$1:$AI$1754,237,0)</f>
        <v>0</v>
      </c>
      <c r="D237" s="8">
        <f>HLOOKUP(D$1,[1]Sheet!$B$1:$AI$1754,237,0)</f>
        <v>0</v>
      </c>
      <c r="E237" s="8">
        <f>HLOOKUP(E$1,[1]Sheet!$B$1:$AI$1754,237,0)</f>
        <v>0</v>
      </c>
      <c r="F237" s="10">
        <f>HLOOKUP(F$1,[1]Sheet!$B$1:$AI$1754,237,0)</f>
        <v>0</v>
      </c>
      <c r="G237" s="8">
        <f>HLOOKUP(G$1,[1]Sheet!$B$1:$AI$1754,237,0)</f>
        <v>0</v>
      </c>
      <c r="H237" s="13">
        <f>IF(HLOOKUP(H$1,[1]Sheet!$B$1:$AI$1754,237,0)&lt;&gt;"999",HLOOKUP(H$1,[1]Sheet!$B$1:$AI$1754,237,0),"ESTOQUE")</f>
        <v>0</v>
      </c>
      <c r="I237" s="5" t="str" cm="1">
        <f t="array" ref="I237">code128(B237)</f>
        <v>Ì01Î</v>
      </c>
    </row>
    <row r="238" spans="1:9" x14ac:dyDescent="0.3">
      <c r="A238" s="7">
        <f>[1]Sheet!A238</f>
        <v>0</v>
      </c>
      <c r="B238" s="9">
        <f>HLOOKUP(B$1,[1]Sheet!$B$1:$AI$1754,238,0)</f>
        <v>0</v>
      </c>
      <c r="C238" s="9">
        <f>HLOOKUP(C$1,[1]Sheet!$B$1:$AI$1754,238,0)</f>
        <v>0</v>
      </c>
      <c r="D238" s="8">
        <f>HLOOKUP(D$1,[1]Sheet!$B$1:$AI$1754,238,0)</f>
        <v>0</v>
      </c>
      <c r="E238" s="8">
        <f>HLOOKUP(E$1,[1]Sheet!$B$1:$AI$1754,238,0)</f>
        <v>0</v>
      </c>
      <c r="F238" s="10">
        <f>HLOOKUP(F$1,[1]Sheet!$B$1:$AI$1754,238,0)</f>
        <v>0</v>
      </c>
      <c r="G238" s="8">
        <f>HLOOKUP(G$1,[1]Sheet!$B$1:$AI$1754,238,0)</f>
        <v>0</v>
      </c>
      <c r="H238" s="13">
        <f>IF(HLOOKUP(H$1,[1]Sheet!$B$1:$AI$1754,238,0)&lt;&gt;"999",HLOOKUP(H$1,[1]Sheet!$B$1:$AI$1754,238,0),"ESTOQUE")</f>
        <v>0</v>
      </c>
      <c r="I238" s="5" t="str" cm="1">
        <f t="array" ref="I238">code128(B238)</f>
        <v>Ì01Î</v>
      </c>
    </row>
    <row r="239" spans="1:9" x14ac:dyDescent="0.3">
      <c r="A239" s="7">
        <f>[1]Sheet!A239</f>
        <v>0</v>
      </c>
      <c r="B239" s="9">
        <f>HLOOKUP(B$1,[1]Sheet!$B$1:$AI$1754,239,0)</f>
        <v>0</v>
      </c>
      <c r="C239" s="9">
        <f>HLOOKUP(C$1,[1]Sheet!$B$1:$AI$1754,239,0)</f>
        <v>0</v>
      </c>
      <c r="D239" s="8">
        <f>HLOOKUP(D$1,[1]Sheet!$B$1:$AI$1754,239,0)</f>
        <v>0</v>
      </c>
      <c r="E239" s="8">
        <f>HLOOKUP(E$1,[1]Sheet!$B$1:$AI$1754,239,0)</f>
        <v>0</v>
      </c>
      <c r="F239" s="10">
        <f>HLOOKUP(F$1,[1]Sheet!$B$1:$AI$1754,239,0)</f>
        <v>0</v>
      </c>
      <c r="G239" s="8">
        <f>HLOOKUP(G$1,[1]Sheet!$B$1:$AI$1754,239,0)</f>
        <v>0</v>
      </c>
      <c r="H239" s="13">
        <f>IF(HLOOKUP(H$1,[1]Sheet!$B$1:$AI$1754,239,0)&lt;&gt;"999",HLOOKUP(H$1,[1]Sheet!$B$1:$AI$1754,239,0),"ESTOQUE")</f>
        <v>0</v>
      </c>
      <c r="I239" s="5" t="str" cm="1">
        <f t="array" ref="I239">code128(B239)</f>
        <v>Ì01Î</v>
      </c>
    </row>
    <row r="240" spans="1:9" x14ac:dyDescent="0.3">
      <c r="A240" s="7">
        <f>[1]Sheet!A240</f>
        <v>0</v>
      </c>
      <c r="B240" s="9">
        <f>HLOOKUP(B$1,[1]Sheet!$B$1:$AI$1754,240,0)</f>
        <v>0</v>
      </c>
      <c r="C240" s="9">
        <f>HLOOKUP(C$1,[1]Sheet!$B$1:$AI$1754,240,0)</f>
        <v>0</v>
      </c>
      <c r="D240" s="8">
        <f>HLOOKUP(D$1,[1]Sheet!$B$1:$AI$1754,240,0)</f>
        <v>0</v>
      </c>
      <c r="E240" s="8">
        <f>HLOOKUP(E$1,[1]Sheet!$B$1:$AI$1754,240,0)</f>
        <v>0</v>
      </c>
      <c r="F240" s="10">
        <f>HLOOKUP(F$1,[1]Sheet!$B$1:$AI$1754,240,0)</f>
        <v>0</v>
      </c>
      <c r="G240" s="8">
        <f>HLOOKUP(G$1,[1]Sheet!$B$1:$AI$1754,240,0)</f>
        <v>0</v>
      </c>
      <c r="H240" s="13">
        <f>IF(HLOOKUP(H$1,[1]Sheet!$B$1:$AI$1754,240,0)&lt;&gt;"999",HLOOKUP(H$1,[1]Sheet!$B$1:$AI$1754,240,0),"ESTOQUE")</f>
        <v>0</v>
      </c>
      <c r="I240" s="5" t="str" cm="1">
        <f t="array" ref="I240">code128(B240)</f>
        <v>Ì01Î</v>
      </c>
    </row>
    <row r="241" spans="1:9" x14ac:dyDescent="0.3">
      <c r="A241" s="7">
        <f>[1]Sheet!A241</f>
        <v>0</v>
      </c>
      <c r="B241" s="9">
        <f>HLOOKUP(B$1,[1]Sheet!$B$1:$AI$1754,241,0)</f>
        <v>0</v>
      </c>
      <c r="C241" s="9">
        <f>HLOOKUP(C$1,[1]Sheet!$B$1:$AI$1754,241,0)</f>
        <v>0</v>
      </c>
      <c r="D241" s="8">
        <f>HLOOKUP(D$1,[1]Sheet!$B$1:$AI$1754,241,0)</f>
        <v>0</v>
      </c>
      <c r="E241" s="8">
        <f>HLOOKUP(E$1,[1]Sheet!$B$1:$AI$1754,241,0)</f>
        <v>0</v>
      </c>
      <c r="F241" s="10">
        <f>HLOOKUP(F$1,[1]Sheet!$B$1:$AI$1754,241,0)</f>
        <v>0</v>
      </c>
      <c r="G241" s="8">
        <f>HLOOKUP(G$1,[1]Sheet!$B$1:$AI$1754,241,0)</f>
        <v>0</v>
      </c>
      <c r="H241" s="13">
        <f>IF(HLOOKUP(H$1,[1]Sheet!$B$1:$AI$1754,241,0)&lt;&gt;"999",HLOOKUP(H$1,[1]Sheet!$B$1:$AI$1754,241,0),"ESTOQUE")</f>
        <v>0</v>
      </c>
      <c r="I241" s="5" t="str" cm="1">
        <f t="array" ref="I241">code128(B241)</f>
        <v>Ì01Î</v>
      </c>
    </row>
    <row r="242" spans="1:9" x14ac:dyDescent="0.3">
      <c r="A242" s="7">
        <f>[1]Sheet!A242</f>
        <v>0</v>
      </c>
      <c r="B242" s="9">
        <f>HLOOKUP(B$1,[1]Sheet!$B$1:$AI$1754,242,0)</f>
        <v>0</v>
      </c>
      <c r="C242" s="9">
        <f>HLOOKUP(C$1,[1]Sheet!$B$1:$AI$1754,242,0)</f>
        <v>0</v>
      </c>
      <c r="D242" s="8">
        <f>HLOOKUP(D$1,[1]Sheet!$B$1:$AI$1754,242,0)</f>
        <v>0</v>
      </c>
      <c r="E242" s="8">
        <f>HLOOKUP(E$1,[1]Sheet!$B$1:$AI$1754,242,0)</f>
        <v>0</v>
      </c>
      <c r="F242" s="10">
        <f>HLOOKUP(F$1,[1]Sheet!$B$1:$AI$1754,242,0)</f>
        <v>0</v>
      </c>
      <c r="G242" s="8">
        <f>HLOOKUP(G$1,[1]Sheet!$B$1:$AI$1754,242,0)</f>
        <v>0</v>
      </c>
      <c r="H242" s="13">
        <f>IF(HLOOKUP(H$1,[1]Sheet!$B$1:$AI$1754,242,0)&lt;&gt;"999",HLOOKUP(H$1,[1]Sheet!$B$1:$AI$1754,242,0),"ESTOQUE")</f>
        <v>0</v>
      </c>
      <c r="I242" s="5" t="str" cm="1">
        <f t="array" ref="I242">code128(B242)</f>
        <v>Ì01Î</v>
      </c>
    </row>
    <row r="243" spans="1:9" x14ac:dyDescent="0.3">
      <c r="A243" s="7">
        <f>[1]Sheet!A243</f>
        <v>0</v>
      </c>
      <c r="B243" s="9">
        <f>HLOOKUP(B$1,[1]Sheet!$B$1:$AI$1754,243,0)</f>
        <v>0</v>
      </c>
      <c r="C243" s="9">
        <f>HLOOKUP(C$1,[1]Sheet!$B$1:$AI$1754,243,0)</f>
        <v>0</v>
      </c>
      <c r="D243" s="8">
        <f>HLOOKUP(D$1,[1]Sheet!$B$1:$AI$1754,243,0)</f>
        <v>0</v>
      </c>
      <c r="E243" s="8">
        <f>HLOOKUP(E$1,[1]Sheet!$B$1:$AI$1754,243,0)</f>
        <v>0</v>
      </c>
      <c r="F243" s="10">
        <f>HLOOKUP(F$1,[1]Sheet!$B$1:$AI$1754,243,0)</f>
        <v>0</v>
      </c>
      <c r="G243" s="8">
        <f>HLOOKUP(G$1,[1]Sheet!$B$1:$AI$1754,243,0)</f>
        <v>0</v>
      </c>
      <c r="H243" s="13">
        <f>IF(HLOOKUP(H$1,[1]Sheet!$B$1:$AI$1754,243,0)&lt;&gt;"999",HLOOKUP(H$1,[1]Sheet!$B$1:$AI$1754,243,0),"ESTOQUE")</f>
        <v>0</v>
      </c>
      <c r="I243" s="5" t="str" cm="1">
        <f t="array" ref="I243">code128(B243)</f>
        <v>Ì01Î</v>
      </c>
    </row>
    <row r="244" spans="1:9" x14ac:dyDescent="0.3">
      <c r="A244" s="7">
        <f>[1]Sheet!A244</f>
        <v>0</v>
      </c>
      <c r="B244" s="9">
        <f>HLOOKUP(B$1,[1]Sheet!$B$1:$AI$1754,244,0)</f>
        <v>0</v>
      </c>
      <c r="C244" s="9">
        <f>HLOOKUP(C$1,[1]Sheet!$B$1:$AI$1754,244,0)</f>
        <v>0</v>
      </c>
      <c r="D244" s="8">
        <f>HLOOKUP(D$1,[1]Sheet!$B$1:$AI$1754,244,0)</f>
        <v>0</v>
      </c>
      <c r="E244" s="8">
        <f>HLOOKUP(E$1,[1]Sheet!$B$1:$AI$1754,244,0)</f>
        <v>0</v>
      </c>
      <c r="F244" s="10">
        <f>HLOOKUP(F$1,[1]Sheet!$B$1:$AI$1754,244,0)</f>
        <v>0</v>
      </c>
      <c r="G244" s="8">
        <f>HLOOKUP(G$1,[1]Sheet!$B$1:$AI$1754,244,0)</f>
        <v>0</v>
      </c>
      <c r="H244" s="13">
        <f>IF(HLOOKUP(H$1,[1]Sheet!$B$1:$AI$1754,244,0)&lt;&gt;"999",HLOOKUP(H$1,[1]Sheet!$B$1:$AI$1754,244,0),"ESTOQUE")</f>
        <v>0</v>
      </c>
      <c r="I244" s="5" t="str" cm="1">
        <f t="array" ref="I244">code128(B244)</f>
        <v>Ì01Î</v>
      </c>
    </row>
    <row r="245" spans="1:9" x14ac:dyDescent="0.3">
      <c r="A245" s="7">
        <f>[1]Sheet!A245</f>
        <v>0</v>
      </c>
      <c r="B245" s="9">
        <f>HLOOKUP(B$1,[1]Sheet!$B$1:$AI$1754,245,0)</f>
        <v>0</v>
      </c>
      <c r="C245" s="9">
        <f>HLOOKUP(C$1,[1]Sheet!$B$1:$AI$1754,245,0)</f>
        <v>0</v>
      </c>
      <c r="D245" s="8">
        <f>HLOOKUP(D$1,[1]Sheet!$B$1:$AI$1754,245,0)</f>
        <v>0</v>
      </c>
      <c r="E245" s="8">
        <f>HLOOKUP(E$1,[1]Sheet!$B$1:$AI$1754,245,0)</f>
        <v>0</v>
      </c>
      <c r="F245" s="10">
        <f>HLOOKUP(F$1,[1]Sheet!$B$1:$AI$1754,245,0)</f>
        <v>0</v>
      </c>
      <c r="G245" s="8">
        <f>HLOOKUP(G$1,[1]Sheet!$B$1:$AI$1754,245,0)</f>
        <v>0</v>
      </c>
      <c r="H245" s="13">
        <f>IF(HLOOKUP(H$1,[1]Sheet!$B$1:$AI$1754,245,0)&lt;&gt;"999",HLOOKUP(H$1,[1]Sheet!$B$1:$AI$1754,245,0),"ESTOQUE")</f>
        <v>0</v>
      </c>
      <c r="I245" s="5" t="str" cm="1">
        <f t="array" ref="I245">code128(B245)</f>
        <v>Ì01Î</v>
      </c>
    </row>
    <row r="246" spans="1:9" x14ac:dyDescent="0.3">
      <c r="A246" s="7">
        <f>[1]Sheet!A246</f>
        <v>0</v>
      </c>
      <c r="B246" s="9">
        <f>HLOOKUP(B$1,[1]Sheet!$B$1:$AI$1754,246,0)</f>
        <v>0</v>
      </c>
      <c r="C246" s="9">
        <f>HLOOKUP(C$1,[1]Sheet!$B$1:$AI$1754,246,0)</f>
        <v>0</v>
      </c>
      <c r="D246" s="8">
        <f>HLOOKUP(D$1,[1]Sheet!$B$1:$AI$1754,246,0)</f>
        <v>0</v>
      </c>
      <c r="E246" s="8">
        <f>HLOOKUP(E$1,[1]Sheet!$B$1:$AI$1754,246,0)</f>
        <v>0</v>
      </c>
      <c r="F246" s="10">
        <f>HLOOKUP(F$1,[1]Sheet!$B$1:$AI$1754,246,0)</f>
        <v>0</v>
      </c>
      <c r="G246" s="8">
        <f>HLOOKUP(G$1,[1]Sheet!$B$1:$AI$1754,246,0)</f>
        <v>0</v>
      </c>
      <c r="H246" s="13">
        <f>IF(HLOOKUP(H$1,[1]Sheet!$B$1:$AI$1754,246,0)&lt;&gt;"999",HLOOKUP(H$1,[1]Sheet!$B$1:$AI$1754,246,0),"ESTOQUE")</f>
        <v>0</v>
      </c>
      <c r="I246" s="5" t="str" cm="1">
        <f t="array" ref="I246">code128(B246)</f>
        <v>Ì01Î</v>
      </c>
    </row>
    <row r="247" spans="1:9" x14ac:dyDescent="0.3">
      <c r="A247" s="7">
        <f>[1]Sheet!A247</f>
        <v>0</v>
      </c>
      <c r="B247" s="9">
        <f>HLOOKUP(B$1,[1]Sheet!$B$1:$AI$1754,247,0)</f>
        <v>0</v>
      </c>
      <c r="C247" s="9">
        <f>HLOOKUP(C$1,[1]Sheet!$B$1:$AI$1754,247,0)</f>
        <v>0</v>
      </c>
      <c r="D247" s="8">
        <f>HLOOKUP(D$1,[1]Sheet!$B$1:$AI$1754,247,0)</f>
        <v>0</v>
      </c>
      <c r="E247" s="8">
        <f>HLOOKUP(E$1,[1]Sheet!$B$1:$AI$1754,247,0)</f>
        <v>0</v>
      </c>
      <c r="F247" s="10">
        <f>HLOOKUP(F$1,[1]Sheet!$B$1:$AI$1754,247,0)</f>
        <v>0</v>
      </c>
      <c r="G247" s="8">
        <f>HLOOKUP(G$1,[1]Sheet!$B$1:$AI$1754,247,0)</f>
        <v>0</v>
      </c>
      <c r="H247" s="13">
        <f>IF(HLOOKUP(H$1,[1]Sheet!$B$1:$AI$1754,247,0)&lt;&gt;"999",HLOOKUP(H$1,[1]Sheet!$B$1:$AI$1754,247,0),"ESTOQUE")</f>
        <v>0</v>
      </c>
      <c r="I247" s="5" t="str" cm="1">
        <f t="array" ref="I247">code128(B247)</f>
        <v>Ì01Î</v>
      </c>
    </row>
    <row r="248" spans="1:9" x14ac:dyDescent="0.3">
      <c r="A248" s="7">
        <f>[1]Sheet!A248</f>
        <v>0</v>
      </c>
      <c r="B248" s="9">
        <f>HLOOKUP(B$1,[1]Sheet!$B$1:$AI$1754,248,0)</f>
        <v>0</v>
      </c>
      <c r="C248" s="9">
        <f>HLOOKUP(C$1,[1]Sheet!$B$1:$AI$1754,248,0)</f>
        <v>0</v>
      </c>
      <c r="D248" s="8">
        <f>HLOOKUP(D$1,[1]Sheet!$B$1:$AI$1754,248,0)</f>
        <v>0</v>
      </c>
      <c r="E248" s="8">
        <f>HLOOKUP(E$1,[1]Sheet!$B$1:$AI$1754,248,0)</f>
        <v>0</v>
      </c>
      <c r="F248" s="10">
        <f>HLOOKUP(F$1,[1]Sheet!$B$1:$AI$1754,248,0)</f>
        <v>0</v>
      </c>
      <c r="G248" s="8">
        <f>HLOOKUP(G$1,[1]Sheet!$B$1:$AI$1754,248,0)</f>
        <v>0</v>
      </c>
      <c r="H248" s="13">
        <f>IF(HLOOKUP(H$1,[1]Sheet!$B$1:$AI$1754,248,0)&lt;&gt;"999",HLOOKUP(H$1,[1]Sheet!$B$1:$AI$1754,248,0),"ESTOQUE")</f>
        <v>0</v>
      </c>
      <c r="I248" s="5" t="str" cm="1">
        <f t="array" ref="I248">code128(B248)</f>
        <v>Ì01Î</v>
      </c>
    </row>
    <row r="249" spans="1:9" x14ac:dyDescent="0.3">
      <c r="A249" s="7">
        <f>[1]Sheet!A249</f>
        <v>0</v>
      </c>
      <c r="B249" s="9">
        <f>HLOOKUP(B$1,[1]Sheet!$B$1:$AI$1754,249,0)</f>
        <v>0</v>
      </c>
      <c r="C249" s="9">
        <f>HLOOKUP(C$1,[1]Sheet!$B$1:$AI$1754,249,0)</f>
        <v>0</v>
      </c>
      <c r="D249" s="8">
        <f>HLOOKUP(D$1,[1]Sheet!$B$1:$AI$1754,249,0)</f>
        <v>0</v>
      </c>
      <c r="E249" s="8">
        <f>HLOOKUP(E$1,[1]Sheet!$B$1:$AI$1754,249,0)</f>
        <v>0</v>
      </c>
      <c r="F249" s="10">
        <f>HLOOKUP(F$1,[1]Sheet!$B$1:$AI$1754,249,0)</f>
        <v>0</v>
      </c>
      <c r="G249" s="8">
        <f>HLOOKUP(G$1,[1]Sheet!$B$1:$AI$1754,249,0)</f>
        <v>0</v>
      </c>
      <c r="H249" s="13">
        <f>IF(HLOOKUP(H$1,[1]Sheet!$B$1:$AI$1754,249,0)&lt;&gt;"999",HLOOKUP(H$1,[1]Sheet!$B$1:$AI$1754,249,0),"ESTOQUE")</f>
        <v>0</v>
      </c>
      <c r="I249" s="5" t="str" cm="1">
        <f t="array" ref="I249">code128(B249)</f>
        <v>Ì01Î</v>
      </c>
    </row>
    <row r="250" spans="1:9" x14ac:dyDescent="0.3">
      <c r="A250" s="7">
        <f>[1]Sheet!A250</f>
        <v>0</v>
      </c>
      <c r="B250" s="9">
        <f>HLOOKUP(B$1,[1]Sheet!$B$1:$AI$1754,250,0)</f>
        <v>0</v>
      </c>
      <c r="C250" s="9">
        <f>HLOOKUP(C$1,[1]Sheet!$B$1:$AI$1754,250,0)</f>
        <v>0</v>
      </c>
      <c r="D250" s="8">
        <f>HLOOKUP(D$1,[1]Sheet!$B$1:$AI$1754,250,0)</f>
        <v>0</v>
      </c>
      <c r="E250" s="8">
        <f>HLOOKUP(E$1,[1]Sheet!$B$1:$AI$1754,250,0)</f>
        <v>0</v>
      </c>
      <c r="F250" s="10">
        <f>HLOOKUP(F$1,[1]Sheet!$B$1:$AI$1754,250,0)</f>
        <v>0</v>
      </c>
      <c r="G250" s="8">
        <f>HLOOKUP(G$1,[1]Sheet!$B$1:$AI$1754,250,0)</f>
        <v>0</v>
      </c>
      <c r="H250" s="13">
        <f>IF(HLOOKUP(H$1,[1]Sheet!$B$1:$AI$1754,250,0)&lt;&gt;"999",HLOOKUP(H$1,[1]Sheet!$B$1:$AI$1754,250,0),"ESTOQUE")</f>
        <v>0</v>
      </c>
      <c r="I250" s="5" t="str" cm="1">
        <f t="array" ref="I250">code128(B250)</f>
        <v>Ì01Î</v>
      </c>
    </row>
    <row r="251" spans="1:9" x14ac:dyDescent="0.3">
      <c r="A251" s="7">
        <f>[1]Sheet!A251</f>
        <v>0</v>
      </c>
      <c r="B251" s="9">
        <f>HLOOKUP(B$1,[1]Sheet!$B$1:$AI$1754,251,0)</f>
        <v>0</v>
      </c>
      <c r="C251" s="9">
        <f>HLOOKUP(C$1,[1]Sheet!$B$1:$AI$1754,251,0)</f>
        <v>0</v>
      </c>
      <c r="D251" s="8">
        <f>HLOOKUP(D$1,[1]Sheet!$B$1:$AI$1754,251,0)</f>
        <v>0</v>
      </c>
      <c r="E251" s="8">
        <f>HLOOKUP(E$1,[1]Sheet!$B$1:$AI$1754,251,0)</f>
        <v>0</v>
      </c>
      <c r="F251" s="10">
        <f>HLOOKUP(F$1,[1]Sheet!$B$1:$AI$1754,251,0)</f>
        <v>0</v>
      </c>
      <c r="G251" s="8">
        <f>HLOOKUP(G$1,[1]Sheet!$B$1:$AI$1754,251,0)</f>
        <v>0</v>
      </c>
      <c r="H251" s="13">
        <f>IF(HLOOKUP(H$1,[1]Sheet!$B$1:$AI$1754,251,0)&lt;&gt;"999",HLOOKUP(H$1,[1]Sheet!$B$1:$AI$1754,251,0),"ESTOQUE")</f>
        <v>0</v>
      </c>
      <c r="I251" s="5" t="str" cm="1">
        <f t="array" ref="I251">code128(B251)</f>
        <v>Ì01Î</v>
      </c>
    </row>
    <row r="252" spans="1:9" x14ac:dyDescent="0.3">
      <c r="A252" s="7">
        <f>[1]Sheet!A252</f>
        <v>0</v>
      </c>
      <c r="B252" s="9">
        <f>HLOOKUP(B$1,[1]Sheet!$B$1:$AI$1754,252,0)</f>
        <v>0</v>
      </c>
      <c r="C252" s="9">
        <f>HLOOKUP(C$1,[1]Sheet!$B$1:$AI$1754,252,0)</f>
        <v>0</v>
      </c>
      <c r="D252" s="8">
        <f>HLOOKUP(D$1,[1]Sheet!$B$1:$AI$1754,252,0)</f>
        <v>0</v>
      </c>
      <c r="E252" s="8">
        <f>HLOOKUP(E$1,[1]Sheet!$B$1:$AI$1754,252,0)</f>
        <v>0</v>
      </c>
      <c r="F252" s="10">
        <f>HLOOKUP(F$1,[1]Sheet!$B$1:$AI$1754,252,0)</f>
        <v>0</v>
      </c>
      <c r="G252" s="8">
        <f>HLOOKUP(G$1,[1]Sheet!$B$1:$AI$1754,252,0)</f>
        <v>0</v>
      </c>
      <c r="H252" s="13">
        <f>IF(HLOOKUP(H$1,[1]Sheet!$B$1:$AI$1754,252,0)&lt;&gt;"999",HLOOKUP(H$1,[1]Sheet!$B$1:$AI$1754,252,0),"ESTOQUE")</f>
        <v>0</v>
      </c>
      <c r="I252" s="5" t="str" cm="1">
        <f t="array" ref="I252">code128(B252)</f>
        <v>Ì01Î</v>
      </c>
    </row>
    <row r="253" spans="1:9" x14ac:dyDescent="0.3">
      <c r="A253" s="7">
        <f>[1]Sheet!A253</f>
        <v>0</v>
      </c>
      <c r="B253" s="9">
        <f>HLOOKUP(B$1,[1]Sheet!$B$1:$AI$1754,253,0)</f>
        <v>0</v>
      </c>
      <c r="C253" s="9">
        <f>HLOOKUP(C$1,[1]Sheet!$B$1:$AI$1754,253,0)</f>
        <v>0</v>
      </c>
      <c r="D253" s="8">
        <f>HLOOKUP(D$1,[1]Sheet!$B$1:$AI$1754,253,0)</f>
        <v>0</v>
      </c>
      <c r="E253" s="8">
        <f>HLOOKUP(E$1,[1]Sheet!$B$1:$AI$1754,253,0)</f>
        <v>0</v>
      </c>
      <c r="F253" s="10">
        <f>HLOOKUP(F$1,[1]Sheet!$B$1:$AI$1754,253,0)</f>
        <v>0</v>
      </c>
      <c r="G253" s="8">
        <f>HLOOKUP(G$1,[1]Sheet!$B$1:$AI$1754,253,0)</f>
        <v>0</v>
      </c>
      <c r="H253" s="13">
        <f>IF(HLOOKUP(H$1,[1]Sheet!$B$1:$AI$1754,253,0)&lt;&gt;"999",HLOOKUP(H$1,[1]Sheet!$B$1:$AI$1754,253,0),"ESTOQUE")</f>
        <v>0</v>
      </c>
      <c r="I253" s="5" t="str" cm="1">
        <f t="array" ref="I253">code128(B253)</f>
        <v>Ì01Î</v>
      </c>
    </row>
    <row r="254" spans="1:9" x14ac:dyDescent="0.3">
      <c r="A254" s="7">
        <f>[1]Sheet!A254</f>
        <v>0</v>
      </c>
      <c r="B254" s="9">
        <f>HLOOKUP(B$1,[1]Sheet!$B$1:$AI$1754,254,0)</f>
        <v>0</v>
      </c>
      <c r="C254" s="9">
        <f>HLOOKUP(C$1,[1]Sheet!$B$1:$AI$1754,254,0)</f>
        <v>0</v>
      </c>
      <c r="D254" s="8">
        <f>HLOOKUP(D$1,[1]Sheet!$B$1:$AI$1754,254,0)</f>
        <v>0</v>
      </c>
      <c r="E254" s="8">
        <f>HLOOKUP(E$1,[1]Sheet!$B$1:$AI$1754,254,0)</f>
        <v>0</v>
      </c>
      <c r="F254" s="10">
        <f>HLOOKUP(F$1,[1]Sheet!$B$1:$AI$1754,254,0)</f>
        <v>0</v>
      </c>
      <c r="G254" s="8">
        <f>HLOOKUP(G$1,[1]Sheet!$B$1:$AI$1754,254,0)</f>
        <v>0</v>
      </c>
      <c r="H254" s="13">
        <f>IF(HLOOKUP(H$1,[1]Sheet!$B$1:$AI$1754,254,0)&lt;&gt;"999",HLOOKUP(H$1,[1]Sheet!$B$1:$AI$1754,254,0),"ESTOQUE")</f>
        <v>0</v>
      </c>
      <c r="I254" s="5" t="str" cm="1">
        <f t="array" ref="I254">code128(B254)</f>
        <v>Ì01Î</v>
      </c>
    </row>
    <row r="255" spans="1:9" x14ac:dyDescent="0.3">
      <c r="A255" s="7">
        <f>[1]Sheet!A255</f>
        <v>0</v>
      </c>
      <c r="B255" s="9">
        <f>HLOOKUP(B$1,[1]Sheet!$B$1:$AI$1754,255,0)</f>
        <v>0</v>
      </c>
      <c r="C255" s="9">
        <f>HLOOKUP(C$1,[1]Sheet!$B$1:$AI$1754,255,0)</f>
        <v>0</v>
      </c>
      <c r="D255" s="8">
        <f>HLOOKUP(D$1,[1]Sheet!$B$1:$AI$1754,255,0)</f>
        <v>0</v>
      </c>
      <c r="E255" s="8">
        <f>HLOOKUP(E$1,[1]Sheet!$B$1:$AI$1754,255,0)</f>
        <v>0</v>
      </c>
      <c r="F255" s="10">
        <f>HLOOKUP(F$1,[1]Sheet!$B$1:$AI$1754,255,0)</f>
        <v>0</v>
      </c>
      <c r="G255" s="8">
        <f>HLOOKUP(G$1,[1]Sheet!$B$1:$AI$1754,255,0)</f>
        <v>0</v>
      </c>
      <c r="H255" s="13">
        <f>IF(HLOOKUP(H$1,[1]Sheet!$B$1:$AI$1754,255,0)&lt;&gt;"999",HLOOKUP(H$1,[1]Sheet!$B$1:$AI$1754,255,0),"ESTOQUE")</f>
        <v>0</v>
      </c>
      <c r="I255" s="5" t="str" cm="1">
        <f t="array" ref="I255">code128(B255)</f>
        <v>Ì01Î</v>
      </c>
    </row>
    <row r="256" spans="1:9" x14ac:dyDescent="0.3">
      <c r="A256" s="7">
        <f>[1]Sheet!A256</f>
        <v>0</v>
      </c>
      <c r="B256" s="9">
        <f>HLOOKUP(B$1,[1]Sheet!$B$1:$AI$1754,256,0)</f>
        <v>0</v>
      </c>
      <c r="C256" s="9">
        <f>HLOOKUP(C$1,[1]Sheet!$B$1:$AI$1754,256,0)</f>
        <v>0</v>
      </c>
      <c r="D256" s="8">
        <f>HLOOKUP(D$1,[1]Sheet!$B$1:$AI$1754,256,0)</f>
        <v>0</v>
      </c>
      <c r="E256" s="8">
        <f>HLOOKUP(E$1,[1]Sheet!$B$1:$AI$1754,256,0)</f>
        <v>0</v>
      </c>
      <c r="F256" s="10">
        <f>HLOOKUP(F$1,[1]Sheet!$B$1:$AI$1754,256,0)</f>
        <v>0</v>
      </c>
      <c r="G256" s="8">
        <f>HLOOKUP(G$1,[1]Sheet!$B$1:$AI$1754,256,0)</f>
        <v>0</v>
      </c>
      <c r="H256" s="13">
        <f>IF(HLOOKUP(H$1,[1]Sheet!$B$1:$AI$1754,256,0)&lt;&gt;"999",HLOOKUP(H$1,[1]Sheet!$B$1:$AI$1754,256,0),"ESTOQUE")</f>
        <v>0</v>
      </c>
      <c r="I256" s="5" t="str" cm="1">
        <f t="array" ref="I256">code128(B256)</f>
        <v>Ì01Î</v>
      </c>
    </row>
    <row r="257" spans="1:9" x14ac:dyDescent="0.3">
      <c r="A257" s="7">
        <f>[1]Sheet!A257</f>
        <v>0</v>
      </c>
      <c r="B257" s="9">
        <f>HLOOKUP(B$1,[1]Sheet!$B$1:$AI$1754,257,0)</f>
        <v>0</v>
      </c>
      <c r="C257" s="9">
        <f>HLOOKUP(C$1,[1]Sheet!$B$1:$AI$1754,257,0)</f>
        <v>0</v>
      </c>
      <c r="D257" s="8">
        <f>HLOOKUP(D$1,[1]Sheet!$B$1:$AI$1754,257,0)</f>
        <v>0</v>
      </c>
      <c r="E257" s="8">
        <f>HLOOKUP(E$1,[1]Sheet!$B$1:$AI$1754,257,0)</f>
        <v>0</v>
      </c>
      <c r="F257" s="10">
        <f>HLOOKUP(F$1,[1]Sheet!$B$1:$AI$1754,257,0)</f>
        <v>0</v>
      </c>
      <c r="G257" s="8">
        <f>HLOOKUP(G$1,[1]Sheet!$B$1:$AI$1754,257,0)</f>
        <v>0</v>
      </c>
      <c r="H257" s="13">
        <f>IF(HLOOKUP(H$1,[1]Sheet!$B$1:$AI$1754,257,0)&lt;&gt;"999",HLOOKUP(H$1,[1]Sheet!$B$1:$AI$1754,257,0),"ESTOQUE")</f>
        <v>0</v>
      </c>
      <c r="I257" s="5" t="str" cm="1">
        <f t="array" ref="I257">code128(B257)</f>
        <v>Ì01Î</v>
      </c>
    </row>
    <row r="258" spans="1:9" x14ac:dyDescent="0.3">
      <c r="A258" s="7">
        <f>[1]Sheet!A258</f>
        <v>0</v>
      </c>
      <c r="B258" s="9">
        <f>HLOOKUP(B$1,[1]Sheet!$B$1:$AI$1754,258,0)</f>
        <v>0</v>
      </c>
      <c r="C258" s="9">
        <f>HLOOKUP(C$1,[1]Sheet!$B$1:$AI$1754,258,0)</f>
        <v>0</v>
      </c>
      <c r="D258" s="8">
        <f>HLOOKUP(D$1,[1]Sheet!$B$1:$AI$1754,258,0)</f>
        <v>0</v>
      </c>
      <c r="E258" s="8">
        <f>HLOOKUP(E$1,[1]Sheet!$B$1:$AI$1754,258,0)</f>
        <v>0</v>
      </c>
      <c r="F258" s="10">
        <f>HLOOKUP(F$1,[1]Sheet!$B$1:$AI$1754,258,0)</f>
        <v>0</v>
      </c>
      <c r="G258" s="8">
        <f>HLOOKUP(G$1,[1]Sheet!$B$1:$AI$1754,258,0)</f>
        <v>0</v>
      </c>
      <c r="H258" s="13">
        <f>IF(HLOOKUP(H$1,[1]Sheet!$B$1:$AI$1754,258,0)&lt;&gt;"999",HLOOKUP(H$1,[1]Sheet!$B$1:$AI$1754,258,0),"ESTOQUE")</f>
        <v>0</v>
      </c>
      <c r="I258" s="5" t="str" cm="1">
        <f t="array" ref="I258">code128(B258)</f>
        <v>Ì01Î</v>
      </c>
    </row>
    <row r="259" spans="1:9" x14ac:dyDescent="0.3">
      <c r="A259" s="7">
        <f>[1]Sheet!A259</f>
        <v>0</v>
      </c>
      <c r="B259" s="9">
        <f>HLOOKUP(B$1,[1]Sheet!$B$1:$AI$1754,259,0)</f>
        <v>0</v>
      </c>
      <c r="C259" s="9">
        <f>HLOOKUP(C$1,[1]Sheet!$B$1:$AI$1754,259,0)</f>
        <v>0</v>
      </c>
      <c r="D259" s="8">
        <f>HLOOKUP(D$1,[1]Sheet!$B$1:$AI$1754,259,0)</f>
        <v>0</v>
      </c>
      <c r="E259" s="8">
        <f>HLOOKUP(E$1,[1]Sheet!$B$1:$AI$1754,259,0)</f>
        <v>0</v>
      </c>
      <c r="F259" s="10">
        <f>HLOOKUP(F$1,[1]Sheet!$B$1:$AI$1754,259,0)</f>
        <v>0</v>
      </c>
      <c r="G259" s="8">
        <f>HLOOKUP(G$1,[1]Sheet!$B$1:$AI$1754,259,0)</f>
        <v>0</v>
      </c>
      <c r="H259" s="13">
        <f>IF(HLOOKUP(H$1,[1]Sheet!$B$1:$AI$1754,259,0)&lt;&gt;"999",HLOOKUP(H$1,[1]Sheet!$B$1:$AI$1754,259,0),"ESTOQUE")</f>
        <v>0</v>
      </c>
      <c r="I259" s="5" t="str" cm="1">
        <f t="array" ref="I259">code128(B259)</f>
        <v>Ì01Î</v>
      </c>
    </row>
    <row r="260" spans="1:9" x14ac:dyDescent="0.3">
      <c r="A260" s="7">
        <f>[1]Sheet!A260</f>
        <v>0</v>
      </c>
      <c r="B260" s="9">
        <f>HLOOKUP(B$1,[1]Sheet!$B$1:$AI$1754,260,0)</f>
        <v>0</v>
      </c>
      <c r="C260" s="9">
        <f>HLOOKUP(C$1,[1]Sheet!$B$1:$AI$1754,260,0)</f>
        <v>0</v>
      </c>
      <c r="D260" s="8">
        <f>HLOOKUP(D$1,[1]Sheet!$B$1:$AI$1754,260,0)</f>
        <v>0</v>
      </c>
      <c r="E260" s="8">
        <f>HLOOKUP(E$1,[1]Sheet!$B$1:$AI$1754,260,0)</f>
        <v>0</v>
      </c>
      <c r="F260" s="10">
        <f>HLOOKUP(F$1,[1]Sheet!$B$1:$AI$1754,260,0)</f>
        <v>0</v>
      </c>
      <c r="G260" s="8">
        <f>HLOOKUP(G$1,[1]Sheet!$B$1:$AI$1754,260,0)</f>
        <v>0</v>
      </c>
      <c r="H260" s="13">
        <f>IF(HLOOKUP(H$1,[1]Sheet!$B$1:$AI$1754,260,0)&lt;&gt;"999",HLOOKUP(H$1,[1]Sheet!$B$1:$AI$1754,260,0),"ESTOQUE")</f>
        <v>0</v>
      </c>
      <c r="I260" s="5" t="str" cm="1">
        <f t="array" ref="I260">code128(B260)</f>
        <v>Ì01Î</v>
      </c>
    </row>
    <row r="261" spans="1:9" x14ac:dyDescent="0.3">
      <c r="A261" s="7">
        <f>[1]Sheet!A261</f>
        <v>0</v>
      </c>
      <c r="B261" s="9">
        <f>HLOOKUP(B$1,[1]Sheet!$B$1:$AI$1754,261,0)</f>
        <v>0</v>
      </c>
      <c r="C261" s="9">
        <f>HLOOKUP(C$1,[1]Sheet!$B$1:$AI$1754,261,0)</f>
        <v>0</v>
      </c>
      <c r="D261" s="8">
        <f>HLOOKUP(D$1,[1]Sheet!$B$1:$AI$1754,261,0)</f>
        <v>0</v>
      </c>
      <c r="E261" s="8">
        <f>HLOOKUP(E$1,[1]Sheet!$B$1:$AI$1754,261,0)</f>
        <v>0</v>
      </c>
      <c r="F261" s="10">
        <f>HLOOKUP(F$1,[1]Sheet!$B$1:$AI$1754,261,0)</f>
        <v>0</v>
      </c>
      <c r="G261" s="8">
        <f>HLOOKUP(G$1,[1]Sheet!$B$1:$AI$1754,261,0)</f>
        <v>0</v>
      </c>
      <c r="H261" s="13">
        <f>IF(HLOOKUP(H$1,[1]Sheet!$B$1:$AI$1754,261,0)&lt;&gt;"999",HLOOKUP(H$1,[1]Sheet!$B$1:$AI$1754,261,0),"ESTOQUE")</f>
        <v>0</v>
      </c>
      <c r="I261" s="5" t="str" cm="1">
        <f t="array" ref="I261">code128(B261)</f>
        <v>Ì01Î</v>
      </c>
    </row>
    <row r="262" spans="1:9" x14ac:dyDescent="0.3">
      <c r="A262" s="7">
        <f>[1]Sheet!A262</f>
        <v>0</v>
      </c>
      <c r="B262" s="9">
        <f>HLOOKUP(B$1,[1]Sheet!$B$1:$AI$1754,262,0)</f>
        <v>0</v>
      </c>
      <c r="C262" s="9">
        <f>HLOOKUP(C$1,[1]Sheet!$B$1:$AI$1754,262,0)</f>
        <v>0</v>
      </c>
      <c r="D262" s="8">
        <f>HLOOKUP(D$1,[1]Sheet!$B$1:$AI$1754,262,0)</f>
        <v>0</v>
      </c>
      <c r="E262" s="8">
        <f>HLOOKUP(E$1,[1]Sheet!$B$1:$AI$1754,262,0)</f>
        <v>0</v>
      </c>
      <c r="F262" s="10">
        <f>HLOOKUP(F$1,[1]Sheet!$B$1:$AI$1754,262,0)</f>
        <v>0</v>
      </c>
      <c r="G262" s="8">
        <f>HLOOKUP(G$1,[1]Sheet!$B$1:$AI$1754,262,0)</f>
        <v>0</v>
      </c>
      <c r="H262" s="13">
        <f>IF(HLOOKUP(H$1,[1]Sheet!$B$1:$AI$1754,262,0)&lt;&gt;"999",HLOOKUP(H$1,[1]Sheet!$B$1:$AI$1754,262,0),"ESTOQUE")</f>
        <v>0</v>
      </c>
      <c r="I262" s="5" t="str" cm="1">
        <f t="array" ref="I262">code128(B262)</f>
        <v>Ì01Î</v>
      </c>
    </row>
    <row r="263" spans="1:9" x14ac:dyDescent="0.3">
      <c r="A263" s="7">
        <f>[1]Sheet!A263</f>
        <v>0</v>
      </c>
      <c r="B263" s="9">
        <f>HLOOKUP(B$1,[1]Sheet!$B$1:$AI$1754,263,0)</f>
        <v>0</v>
      </c>
      <c r="C263" s="9">
        <f>HLOOKUP(C$1,[1]Sheet!$B$1:$AI$1754,263,0)</f>
        <v>0</v>
      </c>
      <c r="D263" s="8">
        <f>HLOOKUP(D$1,[1]Sheet!$B$1:$AI$1754,263,0)</f>
        <v>0</v>
      </c>
      <c r="E263" s="8">
        <f>HLOOKUP(E$1,[1]Sheet!$B$1:$AI$1754,263,0)</f>
        <v>0</v>
      </c>
      <c r="F263" s="10">
        <f>HLOOKUP(F$1,[1]Sheet!$B$1:$AI$1754,263,0)</f>
        <v>0</v>
      </c>
      <c r="G263" s="8">
        <f>HLOOKUP(G$1,[1]Sheet!$B$1:$AI$1754,263,0)</f>
        <v>0</v>
      </c>
      <c r="H263" s="13">
        <f>IF(HLOOKUP(H$1,[1]Sheet!$B$1:$AI$1754,263,0)&lt;&gt;"999",HLOOKUP(H$1,[1]Sheet!$B$1:$AI$1754,263,0),"ESTOQUE")</f>
        <v>0</v>
      </c>
      <c r="I263" s="5" t="str" cm="1">
        <f t="array" ref="I263">code128(B263)</f>
        <v>Ì01Î</v>
      </c>
    </row>
    <row r="264" spans="1:9" x14ac:dyDescent="0.3">
      <c r="A264" s="7">
        <f>[1]Sheet!A264</f>
        <v>0</v>
      </c>
      <c r="B264" s="9">
        <f>HLOOKUP(B$1,[1]Sheet!$B$1:$AI$1754,264,0)</f>
        <v>0</v>
      </c>
      <c r="C264" s="9">
        <f>HLOOKUP(C$1,[1]Sheet!$B$1:$AI$1754,264,0)</f>
        <v>0</v>
      </c>
      <c r="D264" s="8">
        <f>HLOOKUP(D$1,[1]Sheet!$B$1:$AI$1754,264,0)</f>
        <v>0</v>
      </c>
      <c r="E264" s="8">
        <f>HLOOKUP(E$1,[1]Sheet!$B$1:$AI$1754,264,0)</f>
        <v>0</v>
      </c>
      <c r="F264" s="10">
        <f>HLOOKUP(F$1,[1]Sheet!$B$1:$AI$1754,264,0)</f>
        <v>0</v>
      </c>
      <c r="G264" s="8">
        <f>HLOOKUP(G$1,[1]Sheet!$B$1:$AI$1754,264,0)</f>
        <v>0</v>
      </c>
      <c r="H264" s="13">
        <f>IF(HLOOKUP(H$1,[1]Sheet!$B$1:$AI$1754,264,0)&lt;&gt;"999",HLOOKUP(H$1,[1]Sheet!$B$1:$AI$1754,264,0),"ESTOQUE")</f>
        <v>0</v>
      </c>
      <c r="I264" s="5" t="str" cm="1">
        <f t="array" ref="I264">code128(B264)</f>
        <v>Ì01Î</v>
      </c>
    </row>
    <row r="265" spans="1:9" x14ac:dyDescent="0.3">
      <c r="A265" s="7">
        <f>[1]Sheet!A265</f>
        <v>0</v>
      </c>
      <c r="B265" s="9">
        <f>HLOOKUP(B$1,[1]Sheet!$B$1:$AI$1754,265,0)</f>
        <v>0</v>
      </c>
      <c r="C265" s="9">
        <f>HLOOKUP(C$1,[1]Sheet!$B$1:$AI$1754,265,0)</f>
        <v>0</v>
      </c>
      <c r="D265" s="8">
        <f>HLOOKUP(D$1,[1]Sheet!$B$1:$AI$1754,265,0)</f>
        <v>0</v>
      </c>
      <c r="E265" s="8">
        <f>HLOOKUP(E$1,[1]Sheet!$B$1:$AI$1754,265,0)</f>
        <v>0</v>
      </c>
      <c r="F265" s="10">
        <f>HLOOKUP(F$1,[1]Sheet!$B$1:$AI$1754,265,0)</f>
        <v>0</v>
      </c>
      <c r="G265" s="8">
        <f>HLOOKUP(G$1,[1]Sheet!$B$1:$AI$1754,265,0)</f>
        <v>0</v>
      </c>
      <c r="H265" s="13">
        <f>IF(HLOOKUP(H$1,[1]Sheet!$B$1:$AI$1754,265,0)&lt;&gt;"999",HLOOKUP(H$1,[1]Sheet!$B$1:$AI$1754,265,0),"ESTOQUE")</f>
        <v>0</v>
      </c>
      <c r="I265" s="5" t="str" cm="1">
        <f t="array" ref="I265">code128(B265)</f>
        <v>Ì01Î</v>
      </c>
    </row>
    <row r="266" spans="1:9" x14ac:dyDescent="0.3">
      <c r="A266" s="7">
        <f>[1]Sheet!A266</f>
        <v>0</v>
      </c>
      <c r="B266" s="9">
        <f>HLOOKUP(B$1,[1]Sheet!$B$1:$AI$1754,266,0)</f>
        <v>0</v>
      </c>
      <c r="C266" s="9">
        <f>HLOOKUP(C$1,[1]Sheet!$B$1:$AI$1754,266,0)</f>
        <v>0</v>
      </c>
      <c r="D266" s="8">
        <f>HLOOKUP(D$1,[1]Sheet!$B$1:$AI$1754,266,0)</f>
        <v>0</v>
      </c>
      <c r="E266" s="8">
        <f>HLOOKUP(E$1,[1]Sheet!$B$1:$AI$1754,266,0)</f>
        <v>0</v>
      </c>
      <c r="F266" s="10">
        <f>HLOOKUP(F$1,[1]Sheet!$B$1:$AI$1754,266,0)</f>
        <v>0</v>
      </c>
      <c r="G266" s="8">
        <f>HLOOKUP(G$1,[1]Sheet!$B$1:$AI$1754,266,0)</f>
        <v>0</v>
      </c>
      <c r="H266" s="13">
        <f>IF(HLOOKUP(H$1,[1]Sheet!$B$1:$AI$1754,266,0)&lt;&gt;"999",HLOOKUP(H$1,[1]Sheet!$B$1:$AI$1754,266,0),"ESTOQUE")</f>
        <v>0</v>
      </c>
      <c r="I266" s="5" t="str" cm="1">
        <f t="array" ref="I266">code128(B266)</f>
        <v>Ì01Î</v>
      </c>
    </row>
    <row r="267" spans="1:9" x14ac:dyDescent="0.3">
      <c r="A267" s="7">
        <f>[1]Sheet!A267</f>
        <v>0</v>
      </c>
      <c r="B267" s="9">
        <f>HLOOKUP(B$1,[1]Sheet!$B$1:$AI$1754,267,0)</f>
        <v>0</v>
      </c>
      <c r="C267" s="9">
        <f>HLOOKUP(C$1,[1]Sheet!$B$1:$AI$1754,267,0)</f>
        <v>0</v>
      </c>
      <c r="D267" s="8">
        <f>HLOOKUP(D$1,[1]Sheet!$B$1:$AI$1754,267,0)</f>
        <v>0</v>
      </c>
      <c r="E267" s="8">
        <f>HLOOKUP(E$1,[1]Sheet!$B$1:$AI$1754,267,0)</f>
        <v>0</v>
      </c>
      <c r="F267" s="10">
        <f>HLOOKUP(F$1,[1]Sheet!$B$1:$AI$1754,267,0)</f>
        <v>0</v>
      </c>
      <c r="G267" s="8">
        <f>HLOOKUP(G$1,[1]Sheet!$B$1:$AI$1754,267,0)</f>
        <v>0</v>
      </c>
      <c r="H267" s="13">
        <f>IF(HLOOKUP(H$1,[1]Sheet!$B$1:$AI$1754,267,0)&lt;&gt;"999",HLOOKUP(H$1,[1]Sheet!$B$1:$AI$1754,267,0),"ESTOQUE")</f>
        <v>0</v>
      </c>
      <c r="I267" s="5" t="str" cm="1">
        <f t="array" ref="I267">code128(B267)</f>
        <v>Ì01Î</v>
      </c>
    </row>
    <row r="268" spans="1:9" x14ac:dyDescent="0.3">
      <c r="A268" s="7">
        <f>[1]Sheet!A268</f>
        <v>0</v>
      </c>
      <c r="B268" s="9">
        <f>HLOOKUP(B$1,[1]Sheet!$B$1:$AI$1754,268,0)</f>
        <v>0</v>
      </c>
      <c r="C268" s="9">
        <f>HLOOKUP(C$1,[1]Sheet!$B$1:$AI$1754,268,0)</f>
        <v>0</v>
      </c>
      <c r="D268" s="8">
        <f>HLOOKUP(D$1,[1]Sheet!$B$1:$AI$1754,268,0)</f>
        <v>0</v>
      </c>
      <c r="E268" s="8">
        <f>HLOOKUP(E$1,[1]Sheet!$B$1:$AI$1754,268,0)</f>
        <v>0</v>
      </c>
      <c r="F268" s="10">
        <f>HLOOKUP(F$1,[1]Sheet!$B$1:$AI$1754,268,0)</f>
        <v>0</v>
      </c>
      <c r="G268" s="8">
        <f>HLOOKUP(G$1,[1]Sheet!$B$1:$AI$1754,268,0)</f>
        <v>0</v>
      </c>
      <c r="H268" s="13">
        <f>IF(HLOOKUP(H$1,[1]Sheet!$B$1:$AI$1754,268,0)&lt;&gt;"999",HLOOKUP(H$1,[1]Sheet!$B$1:$AI$1754,268,0),"ESTOQUE")</f>
        <v>0</v>
      </c>
      <c r="I268" s="5" t="str" cm="1">
        <f t="array" ref="I268">code128(B268)</f>
        <v>Ì01Î</v>
      </c>
    </row>
    <row r="269" spans="1:9" x14ac:dyDescent="0.3">
      <c r="A269" s="7">
        <f>[1]Sheet!A269</f>
        <v>0</v>
      </c>
      <c r="B269" s="9">
        <f>HLOOKUP(B$1,[1]Sheet!$B$1:$AI$1754,269,0)</f>
        <v>0</v>
      </c>
      <c r="C269" s="9">
        <f>HLOOKUP(C$1,[1]Sheet!$B$1:$AI$1754,269,0)</f>
        <v>0</v>
      </c>
      <c r="D269" s="8">
        <f>HLOOKUP(D$1,[1]Sheet!$B$1:$AI$1754,269,0)</f>
        <v>0</v>
      </c>
      <c r="E269" s="8">
        <f>HLOOKUP(E$1,[1]Sheet!$B$1:$AI$1754,269,0)</f>
        <v>0</v>
      </c>
      <c r="F269" s="10">
        <f>HLOOKUP(F$1,[1]Sheet!$B$1:$AI$1754,269,0)</f>
        <v>0</v>
      </c>
      <c r="G269" s="8">
        <f>HLOOKUP(G$1,[1]Sheet!$B$1:$AI$1754,269,0)</f>
        <v>0</v>
      </c>
      <c r="H269" s="13">
        <f>IF(HLOOKUP(H$1,[1]Sheet!$B$1:$AI$1754,269,0)&lt;&gt;"999",HLOOKUP(H$1,[1]Sheet!$B$1:$AI$1754,269,0),"ESTOQUE")</f>
        <v>0</v>
      </c>
      <c r="I269" s="5" t="str" cm="1">
        <f t="array" ref="I269">code128(B269)</f>
        <v>Ì01Î</v>
      </c>
    </row>
    <row r="270" spans="1:9" x14ac:dyDescent="0.3">
      <c r="A270" s="7">
        <f>[1]Sheet!A270</f>
        <v>0</v>
      </c>
      <c r="B270" s="9">
        <f>HLOOKUP(B$1,[1]Sheet!$B$1:$AI$1754,270,0)</f>
        <v>0</v>
      </c>
      <c r="C270" s="9">
        <f>HLOOKUP(C$1,[1]Sheet!$B$1:$AI$1754,270,0)</f>
        <v>0</v>
      </c>
      <c r="D270" s="8">
        <f>HLOOKUP(D$1,[1]Sheet!$B$1:$AI$1754,270,0)</f>
        <v>0</v>
      </c>
      <c r="E270" s="8">
        <f>HLOOKUP(E$1,[1]Sheet!$B$1:$AI$1754,270,0)</f>
        <v>0</v>
      </c>
      <c r="F270" s="10">
        <f>HLOOKUP(F$1,[1]Sheet!$B$1:$AI$1754,270,0)</f>
        <v>0</v>
      </c>
      <c r="G270" s="8">
        <f>HLOOKUP(G$1,[1]Sheet!$B$1:$AI$1754,270,0)</f>
        <v>0</v>
      </c>
      <c r="H270" s="13">
        <f>IF(HLOOKUP(H$1,[1]Sheet!$B$1:$AI$1754,270,0)&lt;&gt;"999",HLOOKUP(H$1,[1]Sheet!$B$1:$AI$1754,270,0),"ESTOQUE")</f>
        <v>0</v>
      </c>
      <c r="I270" s="5" t="str" cm="1">
        <f t="array" ref="I270">code128(B270)</f>
        <v>Ì01Î</v>
      </c>
    </row>
    <row r="271" spans="1:9" x14ac:dyDescent="0.3">
      <c r="A271" s="7">
        <f>[1]Sheet!A271</f>
        <v>0</v>
      </c>
      <c r="B271" s="9">
        <f>HLOOKUP(B$1,[1]Sheet!$B$1:$AI$1754,271,0)</f>
        <v>0</v>
      </c>
      <c r="C271" s="9">
        <f>HLOOKUP(C$1,[1]Sheet!$B$1:$AI$1754,271,0)</f>
        <v>0</v>
      </c>
      <c r="D271" s="8">
        <f>HLOOKUP(D$1,[1]Sheet!$B$1:$AI$1754,271,0)</f>
        <v>0</v>
      </c>
      <c r="E271" s="8">
        <f>HLOOKUP(E$1,[1]Sheet!$B$1:$AI$1754,271,0)</f>
        <v>0</v>
      </c>
      <c r="F271" s="10">
        <f>HLOOKUP(F$1,[1]Sheet!$B$1:$AI$1754,271,0)</f>
        <v>0</v>
      </c>
      <c r="G271" s="8">
        <f>HLOOKUP(G$1,[1]Sheet!$B$1:$AI$1754,271,0)</f>
        <v>0</v>
      </c>
      <c r="H271" s="13">
        <f>IF(HLOOKUP(H$1,[1]Sheet!$B$1:$AI$1754,271,0)&lt;&gt;"999",HLOOKUP(H$1,[1]Sheet!$B$1:$AI$1754,271,0),"ESTOQUE")</f>
        <v>0</v>
      </c>
      <c r="I271" s="5" t="str" cm="1">
        <f t="array" ref="I271">code128(B271)</f>
        <v>Ì01Î</v>
      </c>
    </row>
    <row r="272" spans="1:9" x14ac:dyDescent="0.3">
      <c r="A272" s="7">
        <f>[1]Sheet!A272</f>
        <v>0</v>
      </c>
      <c r="B272" s="9">
        <f>HLOOKUP(B$1,[1]Sheet!$B$1:$AI$1754,272,0)</f>
        <v>0</v>
      </c>
      <c r="C272" s="9">
        <f>HLOOKUP(C$1,[1]Sheet!$B$1:$AI$1754,272,0)</f>
        <v>0</v>
      </c>
      <c r="D272" s="8">
        <f>HLOOKUP(D$1,[1]Sheet!$B$1:$AI$1754,272,0)</f>
        <v>0</v>
      </c>
      <c r="E272" s="8">
        <f>HLOOKUP(E$1,[1]Sheet!$B$1:$AI$1754,272,0)</f>
        <v>0</v>
      </c>
      <c r="F272" s="10">
        <f>HLOOKUP(F$1,[1]Sheet!$B$1:$AI$1754,272,0)</f>
        <v>0</v>
      </c>
      <c r="G272" s="8">
        <f>HLOOKUP(G$1,[1]Sheet!$B$1:$AI$1754,272,0)</f>
        <v>0</v>
      </c>
      <c r="H272" s="13">
        <f>IF(HLOOKUP(H$1,[1]Sheet!$B$1:$AI$1754,272,0)&lt;&gt;"999",HLOOKUP(H$1,[1]Sheet!$B$1:$AI$1754,272,0),"ESTOQUE")</f>
        <v>0</v>
      </c>
      <c r="I272" s="5" t="str" cm="1">
        <f t="array" ref="I272">code128(B272)</f>
        <v>Ì01Î</v>
      </c>
    </row>
    <row r="273" spans="1:9" x14ac:dyDescent="0.3">
      <c r="A273" s="7">
        <f>[1]Sheet!A273</f>
        <v>0</v>
      </c>
      <c r="B273" s="9">
        <f>HLOOKUP(B$1,[1]Sheet!$B$1:$AI$1754,273,0)</f>
        <v>0</v>
      </c>
      <c r="C273" s="9">
        <f>HLOOKUP(C$1,[1]Sheet!$B$1:$AI$1754,273,0)</f>
        <v>0</v>
      </c>
      <c r="D273" s="8">
        <f>HLOOKUP(D$1,[1]Sheet!$B$1:$AI$1754,273,0)</f>
        <v>0</v>
      </c>
      <c r="E273" s="8">
        <f>HLOOKUP(E$1,[1]Sheet!$B$1:$AI$1754,273,0)</f>
        <v>0</v>
      </c>
      <c r="F273" s="10">
        <f>HLOOKUP(F$1,[1]Sheet!$B$1:$AI$1754,273,0)</f>
        <v>0</v>
      </c>
      <c r="G273" s="8">
        <f>HLOOKUP(G$1,[1]Sheet!$B$1:$AI$1754,273,0)</f>
        <v>0</v>
      </c>
      <c r="H273" s="13">
        <f>IF(HLOOKUP(H$1,[1]Sheet!$B$1:$AI$1754,273,0)&lt;&gt;"999",HLOOKUP(H$1,[1]Sheet!$B$1:$AI$1754,273,0),"ESTOQUE")</f>
        <v>0</v>
      </c>
      <c r="I273" s="5" t="str" cm="1">
        <f t="array" ref="I273">code128(B273)</f>
        <v>Ì01Î</v>
      </c>
    </row>
    <row r="274" spans="1:9" x14ac:dyDescent="0.3">
      <c r="A274" s="7">
        <f>[1]Sheet!A274</f>
        <v>0</v>
      </c>
      <c r="B274" s="9">
        <f>HLOOKUP(B$1,[1]Sheet!$B$1:$AI$1754,274,0)</f>
        <v>0</v>
      </c>
      <c r="C274" s="9">
        <f>HLOOKUP(C$1,[1]Sheet!$B$1:$AI$1754,274,0)</f>
        <v>0</v>
      </c>
      <c r="D274" s="8">
        <f>HLOOKUP(D$1,[1]Sheet!$B$1:$AI$1754,274,0)</f>
        <v>0</v>
      </c>
      <c r="E274" s="8">
        <f>HLOOKUP(E$1,[1]Sheet!$B$1:$AI$1754,274,0)</f>
        <v>0</v>
      </c>
      <c r="F274" s="10">
        <f>HLOOKUP(F$1,[1]Sheet!$B$1:$AI$1754,274,0)</f>
        <v>0</v>
      </c>
      <c r="G274" s="8">
        <f>HLOOKUP(G$1,[1]Sheet!$B$1:$AI$1754,274,0)</f>
        <v>0</v>
      </c>
      <c r="H274" s="13">
        <f>IF(HLOOKUP(H$1,[1]Sheet!$B$1:$AI$1754,274,0)&lt;&gt;"999",HLOOKUP(H$1,[1]Sheet!$B$1:$AI$1754,274,0),"ESTOQUE")</f>
        <v>0</v>
      </c>
      <c r="I274" s="5" t="str" cm="1">
        <f t="array" ref="I274">code128(B274)</f>
        <v>Ì01Î</v>
      </c>
    </row>
    <row r="275" spans="1:9" x14ac:dyDescent="0.3">
      <c r="A275" s="7">
        <f>[1]Sheet!A275</f>
        <v>0</v>
      </c>
      <c r="B275" s="9">
        <f>HLOOKUP(B$1,[1]Sheet!$B$1:$AI$1754,275,0)</f>
        <v>0</v>
      </c>
      <c r="C275" s="9">
        <f>HLOOKUP(C$1,[1]Sheet!$B$1:$AI$1754,275,0)</f>
        <v>0</v>
      </c>
      <c r="D275" s="8">
        <f>HLOOKUP(D$1,[1]Sheet!$B$1:$AI$1754,275,0)</f>
        <v>0</v>
      </c>
      <c r="E275" s="8">
        <f>HLOOKUP(E$1,[1]Sheet!$B$1:$AI$1754,275,0)</f>
        <v>0</v>
      </c>
      <c r="F275" s="10">
        <f>HLOOKUP(F$1,[1]Sheet!$B$1:$AI$1754,275,0)</f>
        <v>0</v>
      </c>
      <c r="G275" s="8">
        <f>HLOOKUP(G$1,[1]Sheet!$B$1:$AI$1754,275,0)</f>
        <v>0</v>
      </c>
      <c r="H275" s="13">
        <f>IF(HLOOKUP(H$1,[1]Sheet!$B$1:$AI$1754,275,0)&lt;&gt;"999",HLOOKUP(H$1,[1]Sheet!$B$1:$AI$1754,275,0),"ESTOQUE")</f>
        <v>0</v>
      </c>
      <c r="I275" s="5" t="str" cm="1">
        <f t="array" ref="I275">code128(B275)</f>
        <v>Ì01Î</v>
      </c>
    </row>
    <row r="276" spans="1:9" x14ac:dyDescent="0.3">
      <c r="A276" s="7">
        <f>[1]Sheet!A276</f>
        <v>0</v>
      </c>
      <c r="B276" s="9">
        <f>HLOOKUP(B$1,[1]Sheet!$B$1:$AI$1754,276,0)</f>
        <v>0</v>
      </c>
      <c r="C276" s="9">
        <f>HLOOKUP(C$1,[1]Sheet!$B$1:$AI$1754,276,0)</f>
        <v>0</v>
      </c>
      <c r="D276" s="8">
        <f>HLOOKUP(D$1,[1]Sheet!$B$1:$AI$1754,276,0)</f>
        <v>0</v>
      </c>
      <c r="E276" s="8">
        <f>HLOOKUP(E$1,[1]Sheet!$B$1:$AI$1754,276,0)</f>
        <v>0</v>
      </c>
      <c r="F276" s="10">
        <f>HLOOKUP(F$1,[1]Sheet!$B$1:$AI$1754,276,0)</f>
        <v>0</v>
      </c>
      <c r="G276" s="8">
        <f>HLOOKUP(G$1,[1]Sheet!$B$1:$AI$1754,276,0)</f>
        <v>0</v>
      </c>
      <c r="H276" s="13">
        <f>IF(HLOOKUP(H$1,[1]Sheet!$B$1:$AI$1754,276,0)&lt;&gt;"999",HLOOKUP(H$1,[1]Sheet!$B$1:$AI$1754,276,0),"ESTOQUE")</f>
        <v>0</v>
      </c>
      <c r="I276" s="5" t="str" cm="1">
        <f t="array" ref="I276">code128(B276)</f>
        <v>Ì01Î</v>
      </c>
    </row>
    <row r="277" spans="1:9" x14ac:dyDescent="0.3">
      <c r="A277" s="7">
        <f>[1]Sheet!A277</f>
        <v>0</v>
      </c>
      <c r="B277" s="9">
        <f>HLOOKUP(B$1,[1]Sheet!$B$1:$AI$1754,277,0)</f>
        <v>0</v>
      </c>
      <c r="C277" s="9">
        <f>HLOOKUP(C$1,[1]Sheet!$B$1:$AI$1754,277,0)</f>
        <v>0</v>
      </c>
      <c r="D277" s="8">
        <f>HLOOKUP(D$1,[1]Sheet!$B$1:$AI$1754,277,0)</f>
        <v>0</v>
      </c>
      <c r="E277" s="8">
        <f>HLOOKUP(E$1,[1]Sheet!$B$1:$AI$1754,277,0)</f>
        <v>0</v>
      </c>
      <c r="F277" s="10">
        <f>HLOOKUP(F$1,[1]Sheet!$B$1:$AI$1754,277,0)</f>
        <v>0</v>
      </c>
      <c r="G277" s="8">
        <f>HLOOKUP(G$1,[1]Sheet!$B$1:$AI$1754,277,0)</f>
        <v>0</v>
      </c>
      <c r="H277" s="13">
        <f>IF(HLOOKUP(H$1,[1]Sheet!$B$1:$AI$1754,277,0)&lt;&gt;"999",HLOOKUP(H$1,[1]Sheet!$B$1:$AI$1754,277,0),"ESTOQUE")</f>
        <v>0</v>
      </c>
      <c r="I277" s="5" t="str" cm="1">
        <f t="array" ref="I277">code128(B277)</f>
        <v>Ì01Î</v>
      </c>
    </row>
    <row r="278" spans="1:9" x14ac:dyDescent="0.3">
      <c r="A278" s="7">
        <f>[1]Sheet!A278</f>
        <v>0</v>
      </c>
      <c r="B278" s="9">
        <f>HLOOKUP(B$1,[1]Sheet!$B$1:$AI$1754,278,0)</f>
        <v>0</v>
      </c>
      <c r="C278" s="9">
        <f>HLOOKUP(C$1,[1]Sheet!$B$1:$AI$1754,278,0)</f>
        <v>0</v>
      </c>
      <c r="D278" s="8">
        <f>HLOOKUP(D$1,[1]Sheet!$B$1:$AI$1754,278,0)</f>
        <v>0</v>
      </c>
      <c r="E278" s="8">
        <f>HLOOKUP(E$1,[1]Sheet!$B$1:$AI$1754,278,0)</f>
        <v>0</v>
      </c>
      <c r="F278" s="10">
        <f>HLOOKUP(F$1,[1]Sheet!$B$1:$AI$1754,278,0)</f>
        <v>0</v>
      </c>
      <c r="G278" s="8">
        <f>HLOOKUP(G$1,[1]Sheet!$B$1:$AI$1754,278,0)</f>
        <v>0</v>
      </c>
      <c r="H278" s="13">
        <f>IF(HLOOKUP(H$1,[1]Sheet!$B$1:$AI$1754,278,0)&lt;&gt;"999",HLOOKUP(H$1,[1]Sheet!$B$1:$AI$1754,278,0),"ESTOQUE")</f>
        <v>0</v>
      </c>
      <c r="I278" s="5" t="str" cm="1">
        <f t="array" ref="I278">code128(B278)</f>
        <v>Ì01Î</v>
      </c>
    </row>
    <row r="279" spans="1:9" x14ac:dyDescent="0.3">
      <c r="A279" s="7">
        <f>[1]Sheet!A279</f>
        <v>0</v>
      </c>
      <c r="B279" s="9">
        <f>HLOOKUP(B$1,[1]Sheet!$B$1:$AI$1754,279,0)</f>
        <v>0</v>
      </c>
      <c r="C279" s="9">
        <f>HLOOKUP(C$1,[1]Sheet!$B$1:$AI$1754,279,0)</f>
        <v>0</v>
      </c>
      <c r="D279" s="8">
        <f>HLOOKUP(D$1,[1]Sheet!$B$1:$AI$1754,279,0)</f>
        <v>0</v>
      </c>
      <c r="E279" s="8">
        <f>HLOOKUP(E$1,[1]Sheet!$B$1:$AI$1754,279,0)</f>
        <v>0</v>
      </c>
      <c r="F279" s="10">
        <f>HLOOKUP(F$1,[1]Sheet!$B$1:$AI$1754,279,0)</f>
        <v>0</v>
      </c>
      <c r="G279" s="8">
        <f>HLOOKUP(G$1,[1]Sheet!$B$1:$AI$1754,279,0)</f>
        <v>0</v>
      </c>
      <c r="H279" s="13">
        <f>IF(HLOOKUP(H$1,[1]Sheet!$B$1:$AI$1754,279,0)&lt;&gt;"999",HLOOKUP(H$1,[1]Sheet!$B$1:$AI$1754,279,0),"ESTOQUE")</f>
        <v>0</v>
      </c>
      <c r="I279" s="5" t="str" cm="1">
        <f t="array" ref="I279">code128(B279)</f>
        <v>Ì01Î</v>
      </c>
    </row>
    <row r="280" spans="1:9" x14ac:dyDescent="0.3">
      <c r="A280" s="7">
        <f>[1]Sheet!A280</f>
        <v>0</v>
      </c>
      <c r="B280" s="9">
        <f>HLOOKUP(B$1,[1]Sheet!$B$1:$AI$1754,280,0)</f>
        <v>0</v>
      </c>
      <c r="C280" s="9">
        <f>HLOOKUP(C$1,[1]Sheet!$B$1:$AI$1754,280,0)</f>
        <v>0</v>
      </c>
      <c r="D280" s="8">
        <f>HLOOKUP(D$1,[1]Sheet!$B$1:$AI$1754,280,0)</f>
        <v>0</v>
      </c>
      <c r="E280" s="8">
        <f>HLOOKUP(E$1,[1]Sheet!$B$1:$AI$1754,280,0)</f>
        <v>0</v>
      </c>
      <c r="F280" s="10">
        <f>HLOOKUP(F$1,[1]Sheet!$B$1:$AI$1754,280,0)</f>
        <v>0</v>
      </c>
      <c r="G280" s="8">
        <f>HLOOKUP(G$1,[1]Sheet!$B$1:$AI$1754,280,0)</f>
        <v>0</v>
      </c>
      <c r="H280" s="13">
        <f>IF(HLOOKUP(H$1,[1]Sheet!$B$1:$AI$1754,280,0)&lt;&gt;"999",HLOOKUP(H$1,[1]Sheet!$B$1:$AI$1754,280,0),"ESTOQUE")</f>
        <v>0</v>
      </c>
      <c r="I280" s="5" t="str" cm="1">
        <f t="array" ref="I280">code128(B280)</f>
        <v>Ì01Î</v>
      </c>
    </row>
    <row r="281" spans="1:9" x14ac:dyDescent="0.3">
      <c r="A281" s="7">
        <f>[1]Sheet!A281</f>
        <v>0</v>
      </c>
      <c r="B281" s="9">
        <f>HLOOKUP(B$1,[1]Sheet!$B$1:$AI$1754,281,0)</f>
        <v>0</v>
      </c>
      <c r="C281" s="9">
        <f>HLOOKUP(C$1,[1]Sheet!$B$1:$AI$1754,281,0)</f>
        <v>0</v>
      </c>
      <c r="D281" s="8">
        <f>HLOOKUP(D$1,[1]Sheet!$B$1:$AI$1754,281,0)</f>
        <v>0</v>
      </c>
      <c r="E281" s="8">
        <f>HLOOKUP(E$1,[1]Sheet!$B$1:$AI$1754,281,0)</f>
        <v>0</v>
      </c>
      <c r="F281" s="10">
        <f>HLOOKUP(F$1,[1]Sheet!$B$1:$AI$1754,281,0)</f>
        <v>0</v>
      </c>
      <c r="G281" s="8">
        <f>HLOOKUP(G$1,[1]Sheet!$B$1:$AI$1754,281,0)</f>
        <v>0</v>
      </c>
      <c r="H281" s="13">
        <f>IF(HLOOKUP(H$1,[1]Sheet!$B$1:$AI$1754,281,0)&lt;&gt;"999",HLOOKUP(H$1,[1]Sheet!$B$1:$AI$1754,281,0),"ESTOQUE")</f>
        <v>0</v>
      </c>
      <c r="I281" s="5" t="str" cm="1">
        <f t="array" ref="I281">code128(B281)</f>
        <v>Ì01Î</v>
      </c>
    </row>
    <row r="282" spans="1:9" x14ac:dyDescent="0.3">
      <c r="A282" s="7">
        <f>[1]Sheet!A282</f>
        <v>0</v>
      </c>
      <c r="B282" s="9">
        <f>HLOOKUP(B$1,[1]Sheet!$B$1:$AI$1754,282,0)</f>
        <v>0</v>
      </c>
      <c r="C282" s="9">
        <f>HLOOKUP(C$1,[1]Sheet!$B$1:$AI$1754,282,0)</f>
        <v>0</v>
      </c>
      <c r="D282" s="8">
        <f>HLOOKUP(D$1,[1]Sheet!$B$1:$AI$1754,282,0)</f>
        <v>0</v>
      </c>
      <c r="E282" s="8">
        <f>HLOOKUP(E$1,[1]Sheet!$B$1:$AI$1754,282,0)</f>
        <v>0</v>
      </c>
      <c r="F282" s="10">
        <f>HLOOKUP(F$1,[1]Sheet!$B$1:$AI$1754,282,0)</f>
        <v>0</v>
      </c>
      <c r="G282" s="8">
        <f>HLOOKUP(G$1,[1]Sheet!$B$1:$AI$1754,282,0)</f>
        <v>0</v>
      </c>
      <c r="H282" s="13">
        <f>IF(HLOOKUP(H$1,[1]Sheet!$B$1:$AI$1754,282,0)&lt;&gt;"999",HLOOKUP(H$1,[1]Sheet!$B$1:$AI$1754,282,0),"ESTOQUE")</f>
        <v>0</v>
      </c>
      <c r="I282" s="5" t="str" cm="1">
        <f t="array" ref="I282">code128(B282)</f>
        <v>Ì01Î</v>
      </c>
    </row>
    <row r="283" spans="1:9" x14ac:dyDescent="0.3">
      <c r="A283" s="7">
        <f>[1]Sheet!A283</f>
        <v>0</v>
      </c>
      <c r="B283" s="9">
        <f>HLOOKUP(B$1,[1]Sheet!$B$1:$AI$1754,283,0)</f>
        <v>0</v>
      </c>
      <c r="C283" s="9">
        <f>HLOOKUP(C$1,[1]Sheet!$B$1:$AI$1754,283,0)</f>
        <v>0</v>
      </c>
      <c r="D283" s="8">
        <f>HLOOKUP(D$1,[1]Sheet!$B$1:$AI$1754,283,0)</f>
        <v>0</v>
      </c>
      <c r="E283" s="8">
        <f>HLOOKUP(E$1,[1]Sheet!$B$1:$AI$1754,283,0)</f>
        <v>0</v>
      </c>
      <c r="F283" s="10">
        <f>HLOOKUP(F$1,[1]Sheet!$B$1:$AI$1754,283,0)</f>
        <v>0</v>
      </c>
      <c r="G283" s="8">
        <f>HLOOKUP(G$1,[1]Sheet!$B$1:$AI$1754,283,0)</f>
        <v>0</v>
      </c>
      <c r="H283" s="13">
        <f>IF(HLOOKUP(H$1,[1]Sheet!$B$1:$AI$1754,283,0)&lt;&gt;"999",HLOOKUP(H$1,[1]Sheet!$B$1:$AI$1754,283,0),"ESTOQUE")</f>
        <v>0</v>
      </c>
      <c r="I283" s="5" t="str" cm="1">
        <f t="array" ref="I283">code128(B283)</f>
        <v>Ì01Î</v>
      </c>
    </row>
    <row r="284" spans="1:9" x14ac:dyDescent="0.3">
      <c r="A284" s="7">
        <f>[1]Sheet!A284</f>
        <v>0</v>
      </c>
      <c r="B284" s="9">
        <f>HLOOKUP(B$1,[1]Sheet!$B$1:$AI$1754,284,0)</f>
        <v>0</v>
      </c>
      <c r="C284" s="9">
        <f>HLOOKUP(C$1,[1]Sheet!$B$1:$AI$1754,284,0)</f>
        <v>0</v>
      </c>
      <c r="D284" s="8">
        <f>HLOOKUP(D$1,[1]Sheet!$B$1:$AI$1754,284,0)</f>
        <v>0</v>
      </c>
      <c r="E284" s="8">
        <f>HLOOKUP(E$1,[1]Sheet!$B$1:$AI$1754,284,0)</f>
        <v>0</v>
      </c>
      <c r="F284" s="10">
        <f>HLOOKUP(F$1,[1]Sheet!$B$1:$AI$1754,284,0)</f>
        <v>0</v>
      </c>
      <c r="G284" s="8">
        <f>HLOOKUP(G$1,[1]Sheet!$B$1:$AI$1754,284,0)</f>
        <v>0</v>
      </c>
      <c r="H284" s="13">
        <f>IF(HLOOKUP(H$1,[1]Sheet!$B$1:$AI$1754,284,0)&lt;&gt;"999",HLOOKUP(H$1,[1]Sheet!$B$1:$AI$1754,284,0),"ESTOQUE")</f>
        <v>0</v>
      </c>
      <c r="I284" s="5" t="str" cm="1">
        <f t="array" ref="I284">code128(B284)</f>
        <v>Ì01Î</v>
      </c>
    </row>
    <row r="285" spans="1:9" x14ac:dyDescent="0.3">
      <c r="A285" s="7">
        <f>[1]Sheet!A285</f>
        <v>0</v>
      </c>
      <c r="B285" s="9">
        <f>HLOOKUP(B$1,[1]Sheet!$B$1:$AI$1754,285,0)</f>
        <v>0</v>
      </c>
      <c r="C285" s="9">
        <f>HLOOKUP(C$1,[1]Sheet!$B$1:$AI$1754,285,0)</f>
        <v>0</v>
      </c>
      <c r="D285" s="8">
        <f>HLOOKUP(D$1,[1]Sheet!$B$1:$AI$1754,285,0)</f>
        <v>0</v>
      </c>
      <c r="E285" s="8">
        <f>HLOOKUP(E$1,[1]Sheet!$B$1:$AI$1754,285,0)</f>
        <v>0</v>
      </c>
      <c r="F285" s="10">
        <f>HLOOKUP(F$1,[1]Sheet!$B$1:$AI$1754,285,0)</f>
        <v>0</v>
      </c>
      <c r="G285" s="8">
        <f>HLOOKUP(G$1,[1]Sheet!$B$1:$AI$1754,285,0)</f>
        <v>0</v>
      </c>
      <c r="H285" s="13">
        <f>IF(HLOOKUP(H$1,[1]Sheet!$B$1:$AI$1754,285,0)&lt;&gt;"999",HLOOKUP(H$1,[1]Sheet!$B$1:$AI$1754,285,0),"ESTOQUE")</f>
        <v>0</v>
      </c>
      <c r="I285" s="5" t="str" cm="1">
        <f t="array" ref="I285">code128(B285)</f>
        <v>Ì01Î</v>
      </c>
    </row>
    <row r="286" spans="1:9" x14ac:dyDescent="0.3">
      <c r="A286" s="7">
        <f>[1]Sheet!A286</f>
        <v>0</v>
      </c>
      <c r="B286" s="9">
        <f>HLOOKUP(B$1,[1]Sheet!$B$1:$AI$1754,286,0)</f>
        <v>0</v>
      </c>
      <c r="C286" s="9">
        <f>HLOOKUP(C$1,[1]Sheet!$B$1:$AI$1754,286,0)</f>
        <v>0</v>
      </c>
      <c r="D286" s="8">
        <f>HLOOKUP(D$1,[1]Sheet!$B$1:$AI$1754,286,0)</f>
        <v>0</v>
      </c>
      <c r="E286" s="8">
        <f>HLOOKUP(E$1,[1]Sheet!$B$1:$AI$1754,286,0)</f>
        <v>0</v>
      </c>
      <c r="F286" s="10">
        <f>HLOOKUP(F$1,[1]Sheet!$B$1:$AI$1754,286,0)</f>
        <v>0</v>
      </c>
      <c r="G286" s="8">
        <f>HLOOKUP(G$1,[1]Sheet!$B$1:$AI$1754,286,0)</f>
        <v>0</v>
      </c>
      <c r="H286" s="13">
        <f>IF(HLOOKUP(H$1,[1]Sheet!$B$1:$AI$1754,286,0)&lt;&gt;"999",HLOOKUP(H$1,[1]Sheet!$B$1:$AI$1754,286,0),"ESTOQUE")</f>
        <v>0</v>
      </c>
      <c r="I286" s="5" t="str" cm="1">
        <f t="array" ref="I286">code128(B286)</f>
        <v>Ì01Î</v>
      </c>
    </row>
    <row r="287" spans="1:9" x14ac:dyDescent="0.3">
      <c r="A287" s="7">
        <f>[1]Sheet!A287</f>
        <v>0</v>
      </c>
      <c r="B287" s="9">
        <f>HLOOKUP(B$1,[1]Sheet!$B$1:$AI$1754,287,0)</f>
        <v>0</v>
      </c>
      <c r="C287" s="9">
        <f>HLOOKUP(C$1,[1]Sheet!$B$1:$AI$1754,287,0)</f>
        <v>0</v>
      </c>
      <c r="D287" s="8">
        <f>HLOOKUP(D$1,[1]Sheet!$B$1:$AI$1754,287,0)</f>
        <v>0</v>
      </c>
      <c r="E287" s="8">
        <f>HLOOKUP(E$1,[1]Sheet!$B$1:$AI$1754,287,0)</f>
        <v>0</v>
      </c>
      <c r="F287" s="10">
        <f>HLOOKUP(F$1,[1]Sheet!$B$1:$AI$1754,287,0)</f>
        <v>0</v>
      </c>
      <c r="G287" s="8">
        <f>HLOOKUP(G$1,[1]Sheet!$B$1:$AI$1754,287,0)</f>
        <v>0</v>
      </c>
      <c r="H287" s="13">
        <f>IF(HLOOKUP(H$1,[1]Sheet!$B$1:$AI$1754,287,0)&lt;&gt;"999",HLOOKUP(H$1,[1]Sheet!$B$1:$AI$1754,287,0),"ESTOQUE")</f>
        <v>0</v>
      </c>
      <c r="I287" s="5" t="str" cm="1">
        <f t="array" ref="I287">code128(B287)</f>
        <v>Ì01Î</v>
      </c>
    </row>
    <row r="288" spans="1:9" x14ac:dyDescent="0.3">
      <c r="A288" s="7">
        <f>[1]Sheet!A288</f>
        <v>0</v>
      </c>
      <c r="B288" s="9">
        <f>HLOOKUP(B$1,[1]Sheet!$B$1:$AI$1754,288,0)</f>
        <v>0</v>
      </c>
      <c r="C288" s="9">
        <f>HLOOKUP(C$1,[1]Sheet!$B$1:$AI$1754,288,0)</f>
        <v>0</v>
      </c>
      <c r="D288" s="8">
        <f>HLOOKUP(D$1,[1]Sheet!$B$1:$AI$1754,288,0)</f>
        <v>0</v>
      </c>
      <c r="E288" s="8">
        <f>HLOOKUP(E$1,[1]Sheet!$B$1:$AI$1754,288,0)</f>
        <v>0</v>
      </c>
      <c r="F288" s="10">
        <f>HLOOKUP(F$1,[1]Sheet!$B$1:$AI$1754,288,0)</f>
        <v>0</v>
      </c>
      <c r="G288" s="8">
        <f>HLOOKUP(G$1,[1]Sheet!$B$1:$AI$1754,288,0)</f>
        <v>0</v>
      </c>
      <c r="H288" s="13">
        <f>IF(HLOOKUP(H$1,[1]Sheet!$B$1:$AI$1754,288,0)&lt;&gt;"999",HLOOKUP(H$1,[1]Sheet!$B$1:$AI$1754,288,0),"ESTOQUE")</f>
        <v>0</v>
      </c>
      <c r="I288" s="5" t="str" cm="1">
        <f t="array" ref="I288">code128(B288)</f>
        <v>Ì01Î</v>
      </c>
    </row>
    <row r="289" spans="1:9" x14ac:dyDescent="0.3">
      <c r="A289" s="7">
        <f>[1]Sheet!A289</f>
        <v>0</v>
      </c>
      <c r="B289" s="9">
        <f>HLOOKUP(B$1,[1]Sheet!$B$1:$AI$1754,289,0)</f>
        <v>0</v>
      </c>
      <c r="C289" s="9">
        <f>HLOOKUP(C$1,[1]Sheet!$B$1:$AI$1754,289,0)</f>
        <v>0</v>
      </c>
      <c r="D289" s="8">
        <f>HLOOKUP(D$1,[1]Sheet!$B$1:$AI$1754,289,0)</f>
        <v>0</v>
      </c>
      <c r="E289" s="8">
        <f>HLOOKUP(E$1,[1]Sheet!$B$1:$AI$1754,289,0)</f>
        <v>0</v>
      </c>
      <c r="F289" s="10">
        <f>HLOOKUP(F$1,[1]Sheet!$B$1:$AI$1754,289,0)</f>
        <v>0</v>
      </c>
      <c r="G289" s="8">
        <f>HLOOKUP(G$1,[1]Sheet!$B$1:$AI$1754,289,0)</f>
        <v>0</v>
      </c>
      <c r="H289" s="13">
        <f>IF(HLOOKUP(H$1,[1]Sheet!$B$1:$AI$1754,289,0)&lt;&gt;"999",HLOOKUP(H$1,[1]Sheet!$B$1:$AI$1754,289,0),"ESTOQUE")</f>
        <v>0</v>
      </c>
      <c r="I289" s="5" t="str" cm="1">
        <f t="array" ref="I289">code128(B289)</f>
        <v>Ì01Î</v>
      </c>
    </row>
    <row r="290" spans="1:9" x14ac:dyDescent="0.3">
      <c r="A290" s="7">
        <f>[1]Sheet!A290</f>
        <v>0</v>
      </c>
      <c r="B290" s="9">
        <f>HLOOKUP(B$1,[1]Sheet!$B$1:$AI$1754,290,0)</f>
        <v>0</v>
      </c>
      <c r="C290" s="9">
        <f>HLOOKUP(C$1,[1]Sheet!$B$1:$AI$1754,290,0)</f>
        <v>0</v>
      </c>
      <c r="D290" s="8">
        <f>HLOOKUP(D$1,[1]Sheet!$B$1:$AI$1754,290,0)</f>
        <v>0</v>
      </c>
      <c r="E290" s="8">
        <f>HLOOKUP(E$1,[1]Sheet!$B$1:$AI$1754,290,0)</f>
        <v>0</v>
      </c>
      <c r="F290" s="10">
        <f>HLOOKUP(F$1,[1]Sheet!$B$1:$AI$1754,290,0)</f>
        <v>0</v>
      </c>
      <c r="G290" s="8">
        <f>HLOOKUP(G$1,[1]Sheet!$B$1:$AI$1754,290,0)</f>
        <v>0</v>
      </c>
      <c r="H290" s="13">
        <f>IF(HLOOKUP(H$1,[1]Sheet!$B$1:$AI$1754,290,0)&lt;&gt;"999",HLOOKUP(H$1,[1]Sheet!$B$1:$AI$1754,290,0),"ESTOQUE")</f>
        <v>0</v>
      </c>
      <c r="I290" s="5" t="str" cm="1">
        <f t="array" ref="I290">code128(B290)</f>
        <v>Ì01Î</v>
      </c>
    </row>
    <row r="291" spans="1:9" x14ac:dyDescent="0.3">
      <c r="A291" s="7">
        <f>[1]Sheet!A291</f>
        <v>0</v>
      </c>
      <c r="B291" s="9">
        <f>HLOOKUP(B$1,[1]Sheet!$B$1:$AI$1754,291,0)</f>
        <v>0</v>
      </c>
      <c r="C291" s="9">
        <f>HLOOKUP(C$1,[1]Sheet!$B$1:$AI$1754,291,0)</f>
        <v>0</v>
      </c>
      <c r="D291" s="8">
        <f>HLOOKUP(D$1,[1]Sheet!$B$1:$AI$1754,291,0)</f>
        <v>0</v>
      </c>
      <c r="E291" s="8">
        <f>HLOOKUP(E$1,[1]Sheet!$B$1:$AI$1754,291,0)</f>
        <v>0</v>
      </c>
      <c r="F291" s="10">
        <f>HLOOKUP(F$1,[1]Sheet!$B$1:$AI$1754,291,0)</f>
        <v>0</v>
      </c>
      <c r="G291" s="8">
        <f>HLOOKUP(G$1,[1]Sheet!$B$1:$AI$1754,291,0)</f>
        <v>0</v>
      </c>
      <c r="H291" s="13">
        <f>IF(HLOOKUP(H$1,[1]Sheet!$B$1:$AI$1754,291,0)&lt;&gt;"999",HLOOKUP(H$1,[1]Sheet!$B$1:$AI$1754,291,0),"ESTOQUE")</f>
        <v>0</v>
      </c>
      <c r="I291" s="5" t="str" cm="1">
        <f t="array" ref="I291">code128(B291)</f>
        <v>Ì01Î</v>
      </c>
    </row>
    <row r="292" spans="1:9" x14ac:dyDescent="0.3">
      <c r="A292" s="7">
        <f>[1]Sheet!A292</f>
        <v>0</v>
      </c>
      <c r="B292" s="9">
        <f>HLOOKUP(B$1,[1]Sheet!$B$1:$AI$1754,292,0)</f>
        <v>0</v>
      </c>
      <c r="C292" s="9">
        <f>HLOOKUP(C$1,[1]Sheet!$B$1:$AI$1754,292,0)</f>
        <v>0</v>
      </c>
      <c r="D292" s="8">
        <f>HLOOKUP(D$1,[1]Sheet!$B$1:$AI$1754,292,0)</f>
        <v>0</v>
      </c>
      <c r="E292" s="8">
        <f>HLOOKUP(E$1,[1]Sheet!$B$1:$AI$1754,292,0)</f>
        <v>0</v>
      </c>
      <c r="F292" s="10">
        <f>HLOOKUP(F$1,[1]Sheet!$B$1:$AI$1754,292,0)</f>
        <v>0</v>
      </c>
      <c r="G292" s="8">
        <f>HLOOKUP(G$1,[1]Sheet!$B$1:$AI$1754,292,0)</f>
        <v>0</v>
      </c>
      <c r="H292" s="13">
        <f>IF(HLOOKUP(H$1,[1]Sheet!$B$1:$AI$1754,292,0)&lt;&gt;"999",HLOOKUP(H$1,[1]Sheet!$B$1:$AI$1754,292,0),"ESTOQUE")</f>
        <v>0</v>
      </c>
      <c r="I292" s="5" t="str" cm="1">
        <f t="array" ref="I292">code128(B292)</f>
        <v>Ì01Î</v>
      </c>
    </row>
    <row r="293" spans="1:9" x14ac:dyDescent="0.3">
      <c r="A293" s="7">
        <f>[1]Sheet!A293</f>
        <v>0</v>
      </c>
      <c r="B293" s="9">
        <f>HLOOKUP(B$1,[1]Sheet!$B$1:$AI$1754,293,0)</f>
        <v>0</v>
      </c>
      <c r="C293" s="9">
        <f>HLOOKUP(C$1,[1]Sheet!$B$1:$AI$1754,293,0)</f>
        <v>0</v>
      </c>
      <c r="D293" s="8">
        <f>HLOOKUP(D$1,[1]Sheet!$B$1:$AI$1754,293,0)</f>
        <v>0</v>
      </c>
      <c r="E293" s="8">
        <f>HLOOKUP(E$1,[1]Sheet!$B$1:$AI$1754,293,0)</f>
        <v>0</v>
      </c>
      <c r="F293" s="10">
        <f>HLOOKUP(F$1,[1]Sheet!$B$1:$AI$1754,293,0)</f>
        <v>0</v>
      </c>
      <c r="G293" s="8">
        <f>HLOOKUP(G$1,[1]Sheet!$B$1:$AI$1754,293,0)</f>
        <v>0</v>
      </c>
      <c r="H293" s="13">
        <f>IF(HLOOKUP(H$1,[1]Sheet!$B$1:$AI$1754,293,0)&lt;&gt;"999",HLOOKUP(H$1,[1]Sheet!$B$1:$AI$1754,293,0),"ESTOQUE")</f>
        <v>0</v>
      </c>
      <c r="I293" s="5" t="str" cm="1">
        <f t="array" ref="I293">code128(B293)</f>
        <v>Ì01Î</v>
      </c>
    </row>
    <row r="294" spans="1:9" x14ac:dyDescent="0.3">
      <c r="A294" s="7">
        <f>[1]Sheet!A294</f>
        <v>0</v>
      </c>
      <c r="B294" s="9">
        <f>HLOOKUP(B$1,[1]Sheet!$B$1:$AI$1754,294,0)</f>
        <v>0</v>
      </c>
      <c r="C294" s="9">
        <f>HLOOKUP(C$1,[1]Sheet!$B$1:$AI$1754,294,0)</f>
        <v>0</v>
      </c>
      <c r="D294" s="8">
        <f>HLOOKUP(D$1,[1]Sheet!$B$1:$AI$1754,294,0)</f>
        <v>0</v>
      </c>
      <c r="E294" s="8">
        <f>HLOOKUP(E$1,[1]Sheet!$B$1:$AI$1754,294,0)</f>
        <v>0</v>
      </c>
      <c r="F294" s="10">
        <f>HLOOKUP(F$1,[1]Sheet!$B$1:$AI$1754,294,0)</f>
        <v>0</v>
      </c>
      <c r="G294" s="8">
        <f>HLOOKUP(G$1,[1]Sheet!$B$1:$AI$1754,294,0)</f>
        <v>0</v>
      </c>
      <c r="H294" s="13">
        <f>IF(HLOOKUP(H$1,[1]Sheet!$B$1:$AI$1754,294,0)&lt;&gt;"999",HLOOKUP(H$1,[1]Sheet!$B$1:$AI$1754,294,0),"ESTOQUE")</f>
        <v>0</v>
      </c>
      <c r="I294" s="5" t="str" cm="1">
        <f t="array" ref="I294">code128(B294)</f>
        <v>Ì01Î</v>
      </c>
    </row>
    <row r="295" spans="1:9" x14ac:dyDescent="0.3">
      <c r="A295" s="7">
        <f>[1]Sheet!A295</f>
        <v>0</v>
      </c>
      <c r="B295" s="9">
        <f>HLOOKUP(B$1,[1]Sheet!$B$1:$AI$1754,295,0)</f>
        <v>0</v>
      </c>
      <c r="C295" s="9">
        <f>HLOOKUP(C$1,[1]Sheet!$B$1:$AI$1754,295,0)</f>
        <v>0</v>
      </c>
      <c r="D295" s="8">
        <f>HLOOKUP(D$1,[1]Sheet!$B$1:$AI$1754,295,0)</f>
        <v>0</v>
      </c>
      <c r="E295" s="8">
        <f>HLOOKUP(E$1,[1]Sheet!$B$1:$AI$1754,295,0)</f>
        <v>0</v>
      </c>
      <c r="F295" s="10">
        <f>HLOOKUP(F$1,[1]Sheet!$B$1:$AI$1754,295,0)</f>
        <v>0</v>
      </c>
      <c r="G295" s="8">
        <f>HLOOKUP(G$1,[1]Sheet!$B$1:$AI$1754,295,0)</f>
        <v>0</v>
      </c>
      <c r="H295" s="13">
        <f>IF(HLOOKUP(H$1,[1]Sheet!$B$1:$AI$1754,295,0)&lt;&gt;"999",HLOOKUP(H$1,[1]Sheet!$B$1:$AI$1754,295,0),"ESTOQUE")</f>
        <v>0</v>
      </c>
      <c r="I295" s="5" t="str" cm="1">
        <f t="array" ref="I295">code128(B295)</f>
        <v>Ì01Î</v>
      </c>
    </row>
    <row r="296" spans="1:9" x14ac:dyDescent="0.3">
      <c r="A296" s="7">
        <f>[1]Sheet!A296</f>
        <v>0</v>
      </c>
      <c r="B296" s="9">
        <f>HLOOKUP(B$1,[1]Sheet!$B$1:$AI$1754,296,0)</f>
        <v>0</v>
      </c>
      <c r="C296" s="9">
        <f>HLOOKUP(C$1,[1]Sheet!$B$1:$AI$1754,296,0)</f>
        <v>0</v>
      </c>
      <c r="D296" s="8">
        <f>HLOOKUP(D$1,[1]Sheet!$B$1:$AI$1754,296,0)</f>
        <v>0</v>
      </c>
      <c r="E296" s="8">
        <f>HLOOKUP(E$1,[1]Sheet!$B$1:$AI$1754,296,0)</f>
        <v>0</v>
      </c>
      <c r="F296" s="10">
        <f>HLOOKUP(F$1,[1]Sheet!$B$1:$AI$1754,296,0)</f>
        <v>0</v>
      </c>
      <c r="G296" s="8">
        <f>HLOOKUP(G$1,[1]Sheet!$B$1:$AI$1754,296,0)</f>
        <v>0</v>
      </c>
      <c r="H296" s="13">
        <f>IF(HLOOKUP(H$1,[1]Sheet!$B$1:$AI$1754,296,0)&lt;&gt;"999",HLOOKUP(H$1,[1]Sheet!$B$1:$AI$1754,296,0),"ESTOQUE")</f>
        <v>0</v>
      </c>
      <c r="I296" s="5" t="str" cm="1">
        <f t="array" ref="I296">code128(B296)</f>
        <v>Ì01Î</v>
      </c>
    </row>
    <row r="297" spans="1:9" x14ac:dyDescent="0.3">
      <c r="A297" s="7">
        <f>[1]Sheet!A297</f>
        <v>0</v>
      </c>
      <c r="B297" s="9">
        <f>HLOOKUP(B$1,[1]Sheet!$B$1:$AI$1754,297,0)</f>
        <v>0</v>
      </c>
      <c r="C297" s="9">
        <f>HLOOKUP(C$1,[1]Sheet!$B$1:$AI$1754,297,0)</f>
        <v>0</v>
      </c>
      <c r="D297" s="8">
        <f>HLOOKUP(D$1,[1]Sheet!$B$1:$AI$1754,297,0)</f>
        <v>0</v>
      </c>
      <c r="E297" s="8">
        <f>HLOOKUP(E$1,[1]Sheet!$B$1:$AI$1754,297,0)</f>
        <v>0</v>
      </c>
      <c r="F297" s="10">
        <f>HLOOKUP(F$1,[1]Sheet!$B$1:$AI$1754,297,0)</f>
        <v>0</v>
      </c>
      <c r="G297" s="8">
        <f>HLOOKUP(G$1,[1]Sheet!$B$1:$AI$1754,297,0)</f>
        <v>0</v>
      </c>
      <c r="H297" s="13">
        <f>IF(HLOOKUP(H$1,[1]Sheet!$B$1:$AI$1754,297,0)&lt;&gt;"999",HLOOKUP(H$1,[1]Sheet!$B$1:$AI$1754,297,0),"ESTOQUE")</f>
        <v>0</v>
      </c>
      <c r="I297" s="5" t="str" cm="1">
        <f t="array" ref="I297">code128(B297)</f>
        <v>Ì01Î</v>
      </c>
    </row>
    <row r="298" spans="1:9" x14ac:dyDescent="0.3">
      <c r="A298" s="7">
        <f>[1]Sheet!A298</f>
        <v>0</v>
      </c>
      <c r="B298" s="9">
        <f>HLOOKUP(B$1,[1]Sheet!$B$1:$AI$1754,298,0)</f>
        <v>0</v>
      </c>
      <c r="C298" s="9">
        <f>HLOOKUP(C$1,[1]Sheet!$B$1:$AI$1754,298,0)</f>
        <v>0</v>
      </c>
      <c r="D298" s="8">
        <f>HLOOKUP(D$1,[1]Sheet!$B$1:$AI$1754,298,0)</f>
        <v>0</v>
      </c>
      <c r="E298" s="8">
        <f>HLOOKUP(E$1,[1]Sheet!$B$1:$AI$1754,298,0)</f>
        <v>0</v>
      </c>
      <c r="F298" s="10">
        <f>HLOOKUP(F$1,[1]Sheet!$B$1:$AI$1754,298,0)</f>
        <v>0</v>
      </c>
      <c r="G298" s="8">
        <f>HLOOKUP(G$1,[1]Sheet!$B$1:$AI$1754,298,0)</f>
        <v>0</v>
      </c>
      <c r="H298" s="13">
        <f>IF(HLOOKUP(H$1,[1]Sheet!$B$1:$AI$1754,298,0)&lt;&gt;"999",HLOOKUP(H$1,[1]Sheet!$B$1:$AI$1754,298,0),"ESTOQUE")</f>
        <v>0</v>
      </c>
      <c r="I298" s="5" t="str" cm="1">
        <f t="array" ref="I298">code128(B298)</f>
        <v>Ì01Î</v>
      </c>
    </row>
    <row r="299" spans="1:9" x14ac:dyDescent="0.3">
      <c r="A299" s="7">
        <f>[1]Sheet!A299</f>
        <v>0</v>
      </c>
      <c r="B299" s="9">
        <f>HLOOKUP(B$1,[1]Sheet!$B$1:$AI$1754,299,0)</f>
        <v>0</v>
      </c>
      <c r="C299" s="9">
        <f>HLOOKUP(C$1,[1]Sheet!$B$1:$AI$1754,299,0)</f>
        <v>0</v>
      </c>
      <c r="D299" s="8">
        <f>HLOOKUP(D$1,[1]Sheet!$B$1:$AI$1754,299,0)</f>
        <v>0</v>
      </c>
      <c r="E299" s="8">
        <f>HLOOKUP(E$1,[1]Sheet!$B$1:$AI$1754,299,0)</f>
        <v>0</v>
      </c>
      <c r="F299" s="10">
        <f>HLOOKUP(F$1,[1]Sheet!$B$1:$AI$1754,299,0)</f>
        <v>0</v>
      </c>
      <c r="G299" s="8">
        <f>HLOOKUP(G$1,[1]Sheet!$B$1:$AI$1754,299,0)</f>
        <v>0</v>
      </c>
      <c r="H299" s="13">
        <f>IF(HLOOKUP(H$1,[1]Sheet!$B$1:$AI$1754,299,0)&lt;&gt;"999",HLOOKUP(H$1,[1]Sheet!$B$1:$AI$1754,299,0),"ESTOQUE")</f>
        <v>0</v>
      </c>
      <c r="I299" s="5" t="str" cm="1">
        <f t="array" ref="I299">code128(B299)</f>
        <v>Ì01Î</v>
      </c>
    </row>
    <row r="300" spans="1:9" x14ac:dyDescent="0.3">
      <c r="A300" s="7">
        <f>[1]Sheet!A300</f>
        <v>0</v>
      </c>
      <c r="B300" s="9">
        <f>HLOOKUP(B$1,[1]Sheet!$B$1:$AI$1754,300,0)</f>
        <v>0</v>
      </c>
      <c r="C300" s="9">
        <f>HLOOKUP(C$1,[1]Sheet!$B$1:$AI$1754,300,0)</f>
        <v>0</v>
      </c>
      <c r="D300" s="8">
        <f>HLOOKUP(D$1,[1]Sheet!$B$1:$AI$1754,300,0)</f>
        <v>0</v>
      </c>
      <c r="E300" s="8">
        <f>HLOOKUP(E$1,[1]Sheet!$B$1:$AI$1754,300,0)</f>
        <v>0</v>
      </c>
      <c r="F300" s="10">
        <f>HLOOKUP(F$1,[1]Sheet!$B$1:$AI$1754,300,0)</f>
        <v>0</v>
      </c>
      <c r="G300" s="8">
        <f>HLOOKUP(G$1,[1]Sheet!$B$1:$AI$1754,300,0)</f>
        <v>0</v>
      </c>
      <c r="H300" s="13">
        <f>IF(HLOOKUP(H$1,[1]Sheet!$B$1:$AI$1754,300,0)&lt;&gt;"999",HLOOKUP(H$1,[1]Sheet!$B$1:$AI$1754,300,0),"ESTOQUE")</f>
        <v>0</v>
      </c>
      <c r="I300" s="5" t="str" cm="1">
        <f t="array" ref="I300">code128(B300)</f>
        <v>Ì01Î</v>
      </c>
    </row>
  </sheetData>
  <mergeCells count="2">
    <mergeCell ref="K2:K3"/>
    <mergeCell ref="L2:M3"/>
  </mergeCells>
  <phoneticPr fontId="2" type="noConversion"/>
  <pageMargins left="1" right="1" top="1" bottom="1" header="0.3" footer="0.3"/>
  <pageSetup orientation="portrait" errors="blank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59BE-1AC3-4458-9850-C633EFB4B578}">
  <dimension ref="A1:B4"/>
  <sheetViews>
    <sheetView workbookViewId="0">
      <selection activeCell="B9" sqref="B9"/>
    </sheetView>
  </sheetViews>
  <sheetFormatPr defaultRowHeight="14.4" x14ac:dyDescent="0.3"/>
  <cols>
    <col min="2" max="2" width="22.6640625" bestFit="1" customWidth="1"/>
  </cols>
  <sheetData>
    <row r="1" spans="1:2" x14ac:dyDescent="0.3">
      <c r="A1" s="6" t="s">
        <v>12</v>
      </c>
      <c r="B1" s="6" t="s">
        <v>14</v>
      </c>
    </row>
    <row r="2" spans="1:2" x14ac:dyDescent="0.3">
      <c r="A2" s="12">
        <v>888</v>
      </c>
      <c r="B2" t="s">
        <v>10</v>
      </c>
    </row>
    <row r="3" spans="1:2" x14ac:dyDescent="0.3">
      <c r="A3" s="12">
        <v>999</v>
      </c>
      <c r="B3" t="s">
        <v>10</v>
      </c>
    </row>
    <row r="4" spans="1:2" x14ac:dyDescent="0.3">
      <c r="A4" s="12" t="s">
        <v>11</v>
      </c>
      <c r="B4" t="s">
        <v>13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Rodrigo Teixeira</dc:creator>
  <cp:lastModifiedBy>LeoRTy</cp:lastModifiedBy>
  <dcterms:created xsi:type="dcterms:W3CDTF">2022-09-15T10:05:11Z</dcterms:created>
  <dcterms:modified xsi:type="dcterms:W3CDTF">2022-10-17T03:17:03Z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19.2.7.0</vt:lpwstr>
  </property>
</Properties>
</file>